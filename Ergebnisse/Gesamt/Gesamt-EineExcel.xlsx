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enbinkert/Desktop/BachelorarbeitLATEX/Ergebnisse/Gesamt/"/>
    </mc:Choice>
  </mc:AlternateContent>
  <xr:revisionPtr revIDLastSave="0" documentId="13_ncr:1_{2C296DC7-F862-5342-AC3B-135ED7299DDC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Blatt 1 - Gesamt-Eine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1" l="1"/>
</calcChain>
</file>

<file path=xl/sharedStrings.xml><?xml version="1.0" encoding="utf-8"?>
<sst xmlns="http://schemas.openxmlformats.org/spreadsheetml/2006/main" count="330" uniqueCount="197">
  <si>
    <t>Gesamt-EineCSV</t>
  </si>
  <si>
    <t>messsystem</t>
  </si>
  <si>
    <t>filtercase</t>
  </si>
  <si>
    <t>datei</t>
  </si>
  <si>
    <t>Sa</t>
  </si>
  <si>
    <t>Sq</t>
  </si>
  <si>
    <t>Sp</t>
  </si>
  <si>
    <t>Sv</t>
  </si>
  <si>
    <t>Sz</t>
  </si>
  <si>
    <t>Ssk</t>
  </si>
  <si>
    <t>Sku</t>
  </si>
  <si>
    <t>Sdr</t>
  </si>
  <si>
    <t>Sdq</t>
  </si>
  <si>
    <t>Sal</t>
  </si>
  <si>
    <t>Str</t>
  </si>
  <si>
    <t>Sk</t>
  </si>
  <si>
    <t>Spk</t>
  </si>
  <si>
    <t>Svk</t>
  </si>
  <si>
    <t>Smr1</t>
  </si>
  <si>
    <t>Smr2</t>
  </si>
  <si>
    <t>Sxp</t>
  </si>
  <si>
    <t>Vmp</t>
  </si>
  <si>
    <t>Vmc</t>
  </si>
  <si>
    <t>Vvv</t>
  </si>
  <si>
    <t>Vvc</t>
  </si>
  <si>
    <t>Keyence</t>
  </si>
  <si>
    <t>gesamt</t>
  </si>
  <si>
    <t>WSP00_L1_S1.sdf</t>
  </si>
  <si>
    <t>0.8280796851535862</t>
  </si>
  <si>
    <t>-0.2187899325185137</t>
  </si>
  <si>
    <t>0.1350242089207041</t>
  </si>
  <si>
    <t>0.28419179807730865</t>
  </si>
  <si>
    <t>0.9334796361318304</t>
  </si>
  <si>
    <t>0.04759293460347427</t>
  </si>
  <si>
    <t>0.9299602398050295</t>
  </si>
  <si>
    <t>0.13174625531462753</t>
  </si>
  <si>
    <t>WSP00_L1_S2.sdf</t>
  </si>
  <si>
    <t>0.9884802826713326</t>
  </si>
  <si>
    <t>0.1383333853090787</t>
  </si>
  <si>
    <t>0.4715316586020208</t>
  </si>
  <si>
    <t>0.06127382770266434</t>
  </si>
  <si>
    <t>0.18536345359710296</t>
  </si>
  <si>
    <t>WSP00_L13_S1.sdf</t>
  </si>
  <si>
    <t>0.9669152689066961</t>
  </si>
  <si>
    <t>-0.03971082706667138</t>
  </si>
  <si>
    <t>0.13416452626876094</t>
  </si>
  <si>
    <t>0.0959686725438742</t>
  </si>
  <si>
    <t>0.05746369513897991</t>
  </si>
  <si>
    <t>0.13932244485433207</t>
  </si>
  <si>
    <t>WSP00_L13_S2.sdf</t>
  </si>
  <si>
    <t>0.9332267375673098</t>
  </si>
  <si>
    <t>0.18201394430411136</t>
  </si>
  <si>
    <t>0.13696122645600609</t>
  </si>
  <si>
    <t>0.36447058651845476</t>
  </si>
  <si>
    <t>0.0676134186843621</t>
  </si>
  <si>
    <t>0.1302449807758177</t>
  </si>
  <si>
    <t>WSP00_L14_S1.sdf</t>
  </si>
  <si>
    <t>-0.16449570174657574</t>
  </si>
  <si>
    <t>0.17915079336027917</t>
  </si>
  <si>
    <t>0.5063024333140299</t>
  </si>
  <si>
    <t>0.1321062396501507</t>
  </si>
  <si>
    <t>0.25702688692838915</t>
  </si>
  <si>
    <t>WSP00_L14_S2.sdf</t>
  </si>
  <si>
    <t>0.2853830212521858</t>
  </si>
  <si>
    <t>0.13165289339906838</t>
  </si>
  <si>
    <t>0.17410318304558675</t>
  </si>
  <si>
    <t>0.08720223908482737</t>
  </si>
  <si>
    <t>0.15280944168491764</t>
  </si>
  <si>
    <t>WSP00_L44_S1.sdf</t>
  </si>
  <si>
    <t>0.19397312592433955</t>
  </si>
  <si>
    <t>0.427319303392583</t>
  </si>
  <si>
    <t>0.10482526580584033</t>
  </si>
  <si>
    <t>0.3574600510909458</t>
  </si>
  <si>
    <t>WSP00_L44_S2.sdf</t>
  </si>
  <si>
    <t>0.209749532966158</t>
  </si>
  <si>
    <t>0.2481840251270646</t>
  </si>
  <si>
    <t>0.0898071092271987</t>
  </si>
  <si>
    <t>0.38124577878738675</t>
  </si>
  <si>
    <t>Nanofocus</t>
  </si>
  <si>
    <t>WSP03_L1_S1.sdf</t>
  </si>
  <si>
    <t>0.28735584965997885</t>
  </si>
  <si>
    <t>0.15039228618813824</t>
  </si>
  <si>
    <t>0.07182916010406744</t>
  </si>
  <si>
    <t>0.07747128576651319</t>
  </si>
  <si>
    <t>0.13534860048220143</t>
  </si>
  <si>
    <t>WSP03_L1_S2.sdf</t>
  </si>
  <si>
    <t>-0.19368334787384792</t>
  </si>
  <si>
    <t>0.13914478164273664</t>
  </si>
  <si>
    <t>0.06744071822705179</t>
  </si>
  <si>
    <t>0.06536397930958553</t>
  </si>
  <si>
    <t>0.17400219232026018</t>
  </si>
  <si>
    <t>WSP03_L13_S1.sdf</t>
  </si>
  <si>
    <t>0.2667628179328682</t>
  </si>
  <si>
    <t>0.14409696039428083</t>
  </si>
  <si>
    <t>0.11149223228479606</t>
  </si>
  <si>
    <t>0.07976844754172235</t>
  </si>
  <si>
    <t>0.13929463359106994</t>
  </si>
  <si>
    <t>WSP03_L13_S2.sdf</t>
  </si>
  <si>
    <t>-0.9370576009205625</t>
  </si>
  <si>
    <t>0.962633714576433</t>
  </si>
  <si>
    <t>0.12843743961840906</t>
  </si>
  <si>
    <t>0.11222536048899925</t>
  </si>
  <si>
    <t>0.05750025290370303</t>
  </si>
  <si>
    <t>0.2521972258712369</t>
  </si>
  <si>
    <t>WSP03_L14_S1.sdf</t>
  </si>
  <si>
    <t>0.9525688942256345</t>
  </si>
  <si>
    <t>0.22914240403497538</t>
  </si>
  <si>
    <t>0.1478381514596779</t>
  </si>
  <si>
    <t>0.024333384742882703</t>
  </si>
  <si>
    <t>91.20574404196108</t>
  </si>
  <si>
    <t>2.6095548980366865</t>
  </si>
  <si>
    <t>0.06908331292613969</t>
  </si>
  <si>
    <t>1.0537392380131139</t>
  </si>
  <si>
    <t>0.1257632098652838</t>
  </si>
  <si>
    <t>1.5014813131588993</t>
  </si>
  <si>
    <t>WSP03_L14_S2.sdf</t>
  </si>
  <si>
    <t>0.9747136302281119</t>
  </si>
  <si>
    <t>1.2339660562243182</t>
  </si>
  <si>
    <t>3.7876842470990826</t>
  </si>
  <si>
    <t>4.027813251239836</t>
  </si>
  <si>
    <t>7.815497498338919</t>
  </si>
  <si>
    <t>-0.12003993911677774</t>
  </si>
  <si>
    <t>3.1741982046116095</t>
  </si>
  <si>
    <t>0.9357437263211699</t>
  </si>
  <si>
    <t>0.12506472388548676</t>
  </si>
  <si>
    <t>205.13174013800062</t>
  </si>
  <si>
    <t>0.06983860734169138</t>
  </si>
  <si>
    <t>3.142155138295969</t>
  </si>
  <si>
    <t>1.1611591758530915</t>
  </si>
  <si>
    <t>1.336634609782445</t>
  </si>
  <si>
    <t>9.102877796339909</t>
  </si>
  <si>
    <t>89.57099507154624</t>
  </si>
  <si>
    <t>2.3441724316970736</t>
  </si>
  <si>
    <t>0.05873306265231592</t>
  </si>
  <si>
    <t>1.0960764148432802</t>
  </si>
  <si>
    <t>0.14987414904767796</t>
  </si>
  <si>
    <t>1.44263162078715</t>
  </si>
  <si>
    <t>WSP03_L40_S1.sdf</t>
  </si>
  <si>
    <t>0.9536742685239689</t>
  </si>
  <si>
    <t>1.2121368082282016</t>
  </si>
  <si>
    <t>3.874096892146104</t>
  </si>
  <si>
    <t>4.057003450063001</t>
  </si>
  <si>
    <t>7.931100342209104</t>
  </si>
  <si>
    <t>0.09812163590527555</t>
  </si>
  <si>
    <t>3.239241568910326</t>
  </si>
  <si>
    <t>1.1284581584406705</t>
  </si>
  <si>
    <t>0.14012328403997554</t>
  </si>
  <si>
    <t>173.9779994370083</t>
  </si>
  <si>
    <t>0.04718634012392941</t>
  </si>
  <si>
    <t>3.0397118527196665</t>
  </si>
  <si>
    <t>1.3165488437034192</t>
  </si>
  <si>
    <t>1.1934751081025117</t>
  </si>
  <si>
    <t>10.963710215672343</t>
  </si>
  <si>
    <t>90.89073188410111</t>
  </si>
  <si>
    <t>2.5382146857546726</t>
  </si>
  <si>
    <t>0.06470271047234727</t>
  </si>
  <si>
    <t>1.0549562763868134</t>
  </si>
  <si>
    <t>0.133418879614013</t>
  </si>
  <si>
    <t>1.4927512038575896</t>
  </si>
  <si>
    <t>WSP03_L40_S2.sdf</t>
  </si>
  <si>
    <t>1.310683248419094</t>
  </si>
  <si>
    <t>1.6378456160181474</t>
  </si>
  <si>
    <t>5.039976558819997</t>
  </si>
  <si>
    <t>5.310840871856552</t>
  </si>
  <si>
    <t>10.35081743067655</t>
  </si>
  <si>
    <t>0.00728977910042674</t>
  </si>
  <si>
    <t>2.977037713145582</t>
  </si>
  <si>
    <t>1.1978685599845385</t>
  </si>
  <si>
    <t>0.14653283750892937</t>
  </si>
  <si>
    <t>388.3235683532977</t>
  </si>
  <si>
    <t>0.0978613838569265</t>
  </si>
  <si>
    <t>4.364237877982345</t>
  </si>
  <si>
    <t>1.5794303265820855</t>
  </si>
  <si>
    <t>1.4915886748520673</t>
  </si>
  <si>
    <t>8.646139377067408</t>
  </si>
  <si>
    <t>90.73092538791244</t>
  </si>
  <si>
    <t>3.2063800739845285</t>
  </si>
  <si>
    <t>0.08021164023798347</t>
  </si>
  <si>
    <t>1.493874118542284</t>
  </si>
  <si>
    <t>0.17978645717441658</t>
  </si>
  <si>
    <t>1.9625744217978238</t>
  </si>
  <si>
    <t>WSP00_L1_S1,nms</t>
  </si>
  <si>
    <t>WSP00_L1_S2,nms</t>
  </si>
  <si>
    <t>WSP00_L13_S1,nms</t>
  </si>
  <si>
    <t>WSP00_L13_S2,nms</t>
  </si>
  <si>
    <t>WSP00_L14_S1,nms</t>
  </si>
  <si>
    <t>WSP00_L14_S2,nms</t>
  </si>
  <si>
    <t>WSP00_L44_S1,nms</t>
  </si>
  <si>
    <t>WSP00_L44_S2,nms</t>
  </si>
  <si>
    <t>WSP03_L1_S1,nms</t>
  </si>
  <si>
    <t>WSP03_L1_S2,nms</t>
  </si>
  <si>
    <t>WSP03_L13_S1,nms</t>
  </si>
  <si>
    <t>WSP03_L13_S2,nms</t>
  </si>
  <si>
    <t>WSP03_L14_S1,nms</t>
  </si>
  <si>
    <t>WSP03_L14_S2,nms</t>
  </si>
  <si>
    <t>WSP03_L40_S1,nms</t>
  </si>
  <si>
    <t>WSP03_L40_S2,nms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</si>
</sst>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6" formatCode="0.000"/>
  </numFmts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 style="thin">
        <color indexed="11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theme="8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ck">
        <color theme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ck">
        <color theme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2" fillId="3" borderId="7" xfId="0" applyNumberFormat="1" applyFont="1" applyFill="1" applyBorder="1" applyAlignment="1">
      <alignment vertical="top"/>
    </xf>
    <xf numFmtId="49" fontId="2" fillId="3" borderId="8" xfId="0" applyNumberFormat="1" applyFont="1" applyFill="1" applyBorder="1" applyAlignment="1">
      <alignment vertical="top"/>
    </xf>
    <xf numFmtId="49" fontId="0" fillId="0" borderId="10" xfId="0" applyNumberFormat="1" applyBorder="1" applyAlignment="1">
      <alignment vertical="top"/>
    </xf>
    <xf numFmtId="49" fontId="2" fillId="2" borderId="11" xfId="0" applyNumberFormat="1" applyFont="1" applyFill="1" applyBorder="1" applyAlignment="1">
      <alignment vertical="top"/>
    </xf>
    <xf numFmtId="49" fontId="2" fillId="2" borderId="12" xfId="0" applyNumberFormat="1" applyFont="1" applyFill="1" applyBorder="1" applyAlignment="1">
      <alignment vertical="top"/>
    </xf>
    <xf numFmtId="49" fontId="2" fillId="2" borderId="13" xfId="0" applyNumberFormat="1" applyFont="1" applyFill="1" applyBorder="1" applyAlignment="1">
      <alignment vertical="top"/>
    </xf>
    <xf numFmtId="49" fontId="2" fillId="3" borderId="14" xfId="0" applyNumberFormat="1" applyFont="1" applyFill="1" applyBorder="1" applyAlignment="1">
      <alignment vertical="top"/>
    </xf>
    <xf numFmtId="49" fontId="0" fillId="0" borderId="15" xfId="0" applyNumberFormat="1" applyBorder="1" applyAlignment="1">
      <alignment vertical="top"/>
    </xf>
    <xf numFmtId="49" fontId="0" fillId="0" borderId="16" xfId="0" applyNumberFormat="1" applyBorder="1" applyAlignment="1">
      <alignment vertical="top"/>
    </xf>
    <xf numFmtId="49" fontId="3" fillId="4" borderId="6" xfId="0" applyNumberFormat="1" applyFont="1" applyFill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164" fontId="0" fillId="0" borderId="6" xfId="0" applyNumberFormat="1" applyBorder="1" applyAlignment="1">
      <alignment vertical="top"/>
    </xf>
    <xf numFmtId="164" fontId="0" fillId="0" borderId="10" xfId="0" applyNumberFormat="1" applyBorder="1" applyAlignment="1">
      <alignment vertical="top"/>
    </xf>
    <xf numFmtId="164" fontId="0" fillId="5" borderId="6" xfId="0" applyNumberFormat="1" applyFill="1" applyBorder="1" applyAlignment="1">
      <alignment vertical="top"/>
    </xf>
    <xf numFmtId="164" fontId="0" fillId="5" borderId="16" xfId="0" applyNumberFormat="1" applyFill="1" applyBorder="1" applyAlignment="1">
      <alignment vertical="top"/>
    </xf>
    <xf numFmtId="164" fontId="0" fillId="0" borderId="16" xfId="0" applyNumberFormat="1" applyBorder="1" applyAlignment="1">
      <alignment vertical="top"/>
    </xf>
    <xf numFmtId="164" fontId="0" fillId="0" borderId="17" xfId="0" applyNumberFormat="1" applyBorder="1" applyAlignment="1">
      <alignment vertical="top"/>
    </xf>
    <xf numFmtId="3" fontId="0" fillId="0" borderId="3" xfId="0" applyNumberFormat="1" applyBorder="1" applyAlignment="1">
      <alignment vertical="top"/>
    </xf>
    <xf numFmtId="3" fontId="0" fillId="0" borderId="9" xfId="0" applyNumberFormat="1" applyBorder="1" applyAlignment="1">
      <alignment vertical="top"/>
    </xf>
    <xf numFmtId="3" fontId="0" fillId="0" borderId="6" xfId="0" applyNumberFormat="1" applyBorder="1" applyAlignment="1">
      <alignment vertical="top"/>
    </xf>
    <xf numFmtId="3" fontId="0" fillId="0" borderId="10" xfId="0" applyNumberFormat="1" applyBorder="1" applyAlignment="1">
      <alignment vertical="top"/>
    </xf>
    <xf numFmtId="164" fontId="3" fillId="4" borderId="6" xfId="0" applyNumberFormat="1" applyFont="1" applyFill="1" applyBorder="1" applyAlignment="1">
      <alignment vertical="top"/>
    </xf>
    <xf numFmtId="164" fontId="3" fillId="0" borderId="6" xfId="0" applyNumberFormat="1" applyFont="1" applyBorder="1" applyAlignment="1">
      <alignment vertical="top"/>
    </xf>
    <xf numFmtId="164" fontId="3" fillId="5" borderId="6" xfId="0" applyNumberFormat="1" applyFont="1" applyFill="1" applyBorder="1" applyAlignment="1">
      <alignment vertical="top"/>
    </xf>
    <xf numFmtId="49" fontId="4" fillId="2" borderId="1" xfId="0" applyNumberFormat="1" applyFont="1" applyFill="1" applyBorder="1" applyAlignment="1">
      <alignment vertical="top"/>
    </xf>
    <xf numFmtId="49" fontId="4" fillId="3" borderId="4" xfId="0" applyNumberFormat="1" applyFont="1" applyFill="1" applyBorder="1" applyAlignment="1">
      <alignment vertical="top"/>
    </xf>
    <xf numFmtId="49" fontId="3" fillId="4" borderId="5" xfId="0" applyNumberFormat="1" applyFont="1" applyFill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4" fillId="3" borderId="18" xfId="0" applyNumberFormat="1" applyFont="1" applyFill="1" applyBorder="1" applyAlignment="1">
      <alignment vertical="top"/>
    </xf>
    <xf numFmtId="49" fontId="3" fillId="4" borderId="19" xfId="0" applyNumberFormat="1" applyFont="1" applyFill="1" applyBorder="1" applyAlignment="1">
      <alignment vertical="top"/>
    </xf>
    <xf numFmtId="49" fontId="3" fillId="4" borderId="20" xfId="0" applyNumberFormat="1" applyFont="1" applyFill="1" applyBorder="1" applyAlignment="1">
      <alignment vertical="top"/>
    </xf>
    <xf numFmtId="164" fontId="3" fillId="4" borderId="20" xfId="0" applyNumberFormat="1" applyFont="1" applyFill="1" applyBorder="1" applyAlignment="1">
      <alignment vertical="top"/>
    </xf>
    <xf numFmtId="49" fontId="4" fillId="3" borderId="22" xfId="0" applyNumberFormat="1" applyFont="1" applyFill="1" applyBorder="1" applyAlignment="1">
      <alignment vertical="top"/>
    </xf>
    <xf numFmtId="49" fontId="3" fillId="0" borderId="23" xfId="0" applyNumberFormat="1" applyFont="1" applyBorder="1" applyAlignment="1">
      <alignment vertical="top"/>
    </xf>
    <xf numFmtId="49" fontId="3" fillId="0" borderId="21" xfId="0" applyNumberFormat="1" applyFont="1" applyBorder="1" applyAlignment="1">
      <alignment vertical="top"/>
    </xf>
    <xf numFmtId="164" fontId="3" fillId="5" borderId="21" xfId="0" applyNumberFormat="1" applyFont="1" applyFill="1" applyBorder="1" applyAlignment="1">
      <alignment vertical="top"/>
    </xf>
    <xf numFmtId="164" fontId="3" fillId="0" borderId="21" xfId="0" applyNumberFormat="1" applyFont="1" applyBorder="1" applyAlignment="1">
      <alignment vertical="top"/>
    </xf>
    <xf numFmtId="166" fontId="0" fillId="0" borderId="0" xfId="0" applyNumberFormat="1" applyAlignment="1">
      <alignment vertical="top"/>
    </xf>
  </cellXfs>
  <cellStyles count="1">
    <cellStyle name="Standard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  <dxf>
      <alignment horizontal="general" vertical="top" textRotation="0" wrapText="0" indent="0" justifyLastLine="0" shrinkToFit="0" readingOrder="0"/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/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1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1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11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bottom style="thin">
          <color indexed="11"/>
        </bottom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904448-DAA6-9949-8D70-E831018BFE86}" name="Tabelle1" displayName="Tabelle1" ref="A2:X34" totalsRowShown="0" headerRowDxfId="0" dataDxfId="1" headerRowBorderDxfId="26" tableBorderDxfId="27">
  <autoFilter ref="A2:X34" xr:uid="{10904448-DAA6-9949-8D70-E831018BFE86}">
    <filterColumn colId="0">
      <filters>
        <filter val="Nanofocus"/>
      </filters>
    </filterColumn>
  </autoFilter>
  <tableColumns count="24">
    <tableColumn id="1" xr3:uid="{EE91D415-66AA-BD4F-BDA5-EF0BA437D688}" name="messsystem" dataDxfId="25"/>
    <tableColumn id="2" xr3:uid="{B1D1DB66-5CD5-BA46-9D01-CF5586D6D023}" name="filtercase" dataDxfId="24"/>
    <tableColumn id="3" xr3:uid="{09C25EFD-7DD1-644B-95A3-B5CF7ED728F6}" name="datei" dataDxfId="23"/>
    <tableColumn id="4" xr3:uid="{AD426E5F-E7C1-754E-9CB4-1AC5B52A3C33}" name="Sa" dataDxfId="22"/>
    <tableColumn id="5" xr3:uid="{BA8ED7F4-E0F4-7F45-AF1C-FCF4283851CD}" name="Sq" dataDxfId="21"/>
    <tableColumn id="6" xr3:uid="{79519518-3BF1-D94A-8A4E-82397483FA27}" name="Sp" dataDxfId="20"/>
    <tableColumn id="7" xr3:uid="{7701669D-018B-FA47-B70D-16038B7525E4}" name="Sv" dataDxfId="19"/>
    <tableColumn id="8" xr3:uid="{42EC3FF2-A145-7344-83EC-B8FDEBB98E29}" name="Sz" dataDxfId="18"/>
    <tableColumn id="9" xr3:uid="{D7DC4770-092F-1740-B911-3E7791AAEE91}" name="Ssk" dataDxfId="17"/>
    <tableColumn id="10" xr3:uid="{BEF2CE98-B128-C343-8F0F-29F16AA5457B}" name="Sku" dataDxfId="16"/>
    <tableColumn id="11" xr3:uid="{7288A14D-3146-3242-B90B-E0EA6A0AC9E8}" name="Sdr" dataDxfId="15"/>
    <tableColumn id="12" xr3:uid="{39D25C00-B45C-644F-96F0-159F9B52E2A4}" name="Sdq" dataDxfId="14"/>
    <tableColumn id="13" xr3:uid="{B93BEA40-E7FE-8844-82D1-EFBE0A9F069D}" name="Sal" dataDxfId="13"/>
    <tableColumn id="14" xr3:uid="{46F150C1-925A-3D42-A149-16713CF873CB}" name="Str" dataDxfId="12"/>
    <tableColumn id="15" xr3:uid="{830CAAFD-EA89-874F-A98E-5D97BA890242}" name="Sk" dataDxfId="11"/>
    <tableColumn id="16" xr3:uid="{1A3CD08E-20A1-8841-8230-53F3E1F82EFF}" name="Spk" dataDxfId="10"/>
    <tableColumn id="17" xr3:uid="{5BC2BA0C-B71F-0740-B2BA-7E6601DAAE99}" name="Svk" dataDxfId="9"/>
    <tableColumn id="18" xr3:uid="{E8C2C442-E670-6E4F-B4B7-C6282236F0B2}" name="Smr1" dataDxfId="8"/>
    <tableColumn id="19" xr3:uid="{0ED2A803-55C8-E340-A526-699F7F5B386A}" name="Smr2" dataDxfId="7"/>
    <tableColumn id="20" xr3:uid="{3E291AF4-D4AA-9444-B7E3-272AEF6C6F85}" name="Sxp" dataDxfId="6"/>
    <tableColumn id="21" xr3:uid="{DE83F897-A1EF-6948-A16B-730E5128AF32}" name="Vmp" dataDxfId="5"/>
    <tableColumn id="22" xr3:uid="{1BFEC8B3-574C-5B4E-B4FA-B498324D54D7}" name="Vmc" dataDxfId="4"/>
    <tableColumn id="23" xr3:uid="{81608BAE-C2A3-2C47-91C5-648D126D609F}" name="Vvv" dataDxfId="3"/>
    <tableColumn id="24" xr3:uid="{140039D8-F787-3448-95EA-FCEF871C58EF}" name="Vvc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65"/>
  <sheetViews>
    <sheetView showGridLines="0" tabSelected="1" workbookViewId="0">
      <selection activeCell="D39" sqref="D39:D46"/>
    </sheetView>
  </sheetViews>
  <sheetFormatPr baseColWidth="10" defaultColWidth="8.33203125" defaultRowHeight="20" customHeight="1" x14ac:dyDescent="0.15"/>
  <cols>
    <col min="1" max="1" width="13.33203125" style="1" customWidth="1"/>
    <col min="2" max="2" width="11.1640625" style="1" customWidth="1"/>
    <col min="3" max="3" width="17.1640625" style="1" customWidth="1"/>
    <col min="4" max="5" width="19.83203125" style="1" bestFit="1" customWidth="1"/>
    <col min="6" max="6" width="18.83203125" style="1" bestFit="1" customWidth="1"/>
    <col min="7" max="8" width="17.6640625" style="1" customWidth="1"/>
    <col min="9" max="9" width="19.5" style="1" customWidth="1"/>
    <col min="10" max="11" width="17.6640625" style="1" customWidth="1"/>
    <col min="12" max="12" width="18.6640625" style="1" customWidth="1"/>
    <col min="13" max="13" width="17.6640625" style="1" customWidth="1"/>
    <col min="14" max="14" width="19.5" style="1" customWidth="1"/>
    <col min="15" max="15" width="17.6640625" style="1" customWidth="1"/>
    <col min="16" max="17" width="18.6640625" style="1" customWidth="1"/>
    <col min="18" max="18" width="17.6640625" style="1" customWidth="1"/>
    <col min="19" max="19" width="16.83203125" style="1" customWidth="1"/>
    <col min="20" max="20" width="17.6640625" style="1" customWidth="1"/>
    <col min="21" max="21" width="19.5" style="1" customWidth="1"/>
    <col min="22" max="22" width="18.6640625" style="1" customWidth="1"/>
    <col min="23" max="23" width="19.5" style="1" customWidth="1"/>
    <col min="24" max="24" width="17.6640625" style="1" customWidth="1"/>
    <col min="25" max="25" width="8.33203125" style="1" customWidth="1"/>
    <col min="26" max="16384" width="8.33203125" style="1"/>
  </cols>
  <sheetData>
    <row r="1" spans="1:24" ht="27.75" customHeight="1" x14ac:dyDescent="0.1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20.25" customHeight="1" x14ac:dyDescent="0.15">
      <c r="A2" s="10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</row>
    <row r="3" spans="1:24" ht="20.25" hidden="1" customHeight="1" x14ac:dyDescent="0.15">
      <c r="A3" s="7" t="s">
        <v>25</v>
      </c>
      <c r="B3" s="2" t="s">
        <v>26</v>
      </c>
      <c r="C3" s="3" t="s">
        <v>27</v>
      </c>
      <c r="D3" s="3" t="s">
        <v>28</v>
      </c>
      <c r="E3" s="24">
        <v>1.05110711861859E+16</v>
      </c>
      <c r="F3" s="24">
        <v>3.1034200478393E+16</v>
      </c>
      <c r="G3" s="24">
        <v>3.7574024907520896E+16</v>
      </c>
      <c r="H3" s="24">
        <v>6860822538591400</v>
      </c>
      <c r="I3" s="3" t="s">
        <v>29</v>
      </c>
      <c r="J3" s="24">
        <v>3.26294935401442E+16</v>
      </c>
      <c r="K3" s="24">
        <v>1132690691631550</v>
      </c>
      <c r="L3" s="3" t="s">
        <v>30</v>
      </c>
      <c r="M3" s="24">
        <v>3.6205116048419296E+16</v>
      </c>
      <c r="N3" s="3" t="s">
        <v>31</v>
      </c>
      <c r="O3" s="24">
        <v>2.65713237436568E+16</v>
      </c>
      <c r="P3" s="3" t="s">
        <v>32</v>
      </c>
      <c r="Q3" s="24">
        <v>1.20919699262036E+16</v>
      </c>
      <c r="R3" s="24">
        <v>9103687991173450</v>
      </c>
      <c r="S3" s="24">
        <v>8938942378151370</v>
      </c>
      <c r="T3" s="24">
        <v>1.96489619474506E+16</v>
      </c>
      <c r="U3" s="3" t="s">
        <v>33</v>
      </c>
      <c r="V3" s="3" t="s">
        <v>34</v>
      </c>
      <c r="W3" s="3" t="s">
        <v>35</v>
      </c>
      <c r="X3" s="25">
        <v>1220427405891570</v>
      </c>
    </row>
    <row r="4" spans="1:24" ht="20" hidden="1" customHeight="1" x14ac:dyDescent="0.15">
      <c r="A4" s="8" t="s">
        <v>25</v>
      </c>
      <c r="B4" s="4" t="s">
        <v>26</v>
      </c>
      <c r="C4" s="5" t="s">
        <v>36</v>
      </c>
      <c r="D4" s="5" t="s">
        <v>37</v>
      </c>
      <c r="E4" s="26">
        <v>135670589713961</v>
      </c>
      <c r="F4" s="26">
        <v>4536003917981430</v>
      </c>
      <c r="G4" s="26">
        <v>950735917604415</v>
      </c>
      <c r="H4" s="26">
        <v>1.40433630940255E+16</v>
      </c>
      <c r="I4" s="26">
        <v>-1.26741237892004E+16</v>
      </c>
      <c r="J4" s="26">
        <v>1.01277362573078E+16</v>
      </c>
      <c r="K4" s="26">
        <v>1.16680782286435E+16</v>
      </c>
      <c r="L4" s="5" t="s">
        <v>38</v>
      </c>
      <c r="M4" s="26">
        <v>1.1540269322329E+16</v>
      </c>
      <c r="N4" s="5" t="s">
        <v>39</v>
      </c>
      <c r="O4" s="26">
        <v>3.02303229635652E+16</v>
      </c>
      <c r="P4" s="26">
        <v>1216954178812050</v>
      </c>
      <c r="Q4" s="26">
        <v>1.98161170057113E+16</v>
      </c>
      <c r="R4" s="26">
        <v>9123483562755390</v>
      </c>
      <c r="S4" s="26">
        <v>8901379281158280</v>
      </c>
      <c r="T4" s="26">
        <v>2.28408141362748E+16</v>
      </c>
      <c r="U4" s="5" t="s">
        <v>40</v>
      </c>
      <c r="V4" s="26">
        <v>1.06527841972962E+16</v>
      </c>
      <c r="W4" s="5" t="s">
        <v>41</v>
      </c>
      <c r="X4" s="27">
        <v>1.3913271030939E+16</v>
      </c>
    </row>
    <row r="5" spans="1:24" ht="20" hidden="1" customHeight="1" x14ac:dyDescent="0.15">
      <c r="A5" s="8" t="s">
        <v>25</v>
      </c>
      <c r="B5" s="4" t="s">
        <v>26</v>
      </c>
      <c r="C5" s="5" t="s">
        <v>42</v>
      </c>
      <c r="D5" s="5" t="s">
        <v>43</v>
      </c>
      <c r="E5" s="26">
        <v>1.21512900327407E+16</v>
      </c>
      <c r="F5" s="26">
        <v>3732853341796670</v>
      </c>
      <c r="G5" s="26">
        <v>3921532405215010</v>
      </c>
      <c r="H5" s="26">
        <v>7654385747011680</v>
      </c>
      <c r="I5" s="5" t="s">
        <v>44</v>
      </c>
      <c r="J5" s="26">
        <v>3005793796052730</v>
      </c>
      <c r="K5" s="26">
        <v>1.12112808822764E+16</v>
      </c>
      <c r="L5" s="5" t="s">
        <v>45</v>
      </c>
      <c r="M5" s="26">
        <v>6960616007933300</v>
      </c>
      <c r="N5" s="5" t="s">
        <v>46</v>
      </c>
      <c r="O5" s="26">
        <v>3.15839444081733E+16</v>
      </c>
      <c r="P5" s="26">
        <v>1.13534243743467E+16</v>
      </c>
      <c r="Q5" s="26">
        <v>1197660388880470</v>
      </c>
      <c r="R5" s="26">
        <v>9429363994239580</v>
      </c>
      <c r="S5" s="26">
        <v>9022357563776630</v>
      </c>
      <c r="T5" s="26">
        <v>2370777841498010</v>
      </c>
      <c r="U5" s="5" t="s">
        <v>47</v>
      </c>
      <c r="V5" s="26">
        <v>1094112315018970</v>
      </c>
      <c r="W5" s="5" t="s">
        <v>48</v>
      </c>
      <c r="X5" s="27">
        <v>1.46497852959378E+16</v>
      </c>
    </row>
    <row r="6" spans="1:24" ht="20" hidden="1" customHeight="1" x14ac:dyDescent="0.15">
      <c r="A6" s="8" t="s">
        <v>25</v>
      </c>
      <c r="B6" s="4" t="s">
        <v>26</v>
      </c>
      <c r="C6" s="5" t="s">
        <v>49</v>
      </c>
      <c r="D6" s="5" t="s">
        <v>50</v>
      </c>
      <c r="E6" s="26">
        <v>1.1892919197071E+16</v>
      </c>
      <c r="F6" s="26">
        <v>4528047485109700</v>
      </c>
      <c r="G6" s="26">
        <v>3629480544828360</v>
      </c>
      <c r="H6" s="26">
        <v>8157528029938070</v>
      </c>
      <c r="I6" s="5" t="s">
        <v>51</v>
      </c>
      <c r="J6" s="26">
        <v>3418102478213430</v>
      </c>
      <c r="K6" s="26">
        <v>1.1575621326376E+16</v>
      </c>
      <c r="L6" s="5" t="s">
        <v>52</v>
      </c>
      <c r="M6" s="26">
        <v>7035010116846440</v>
      </c>
      <c r="N6" s="5" t="s">
        <v>53</v>
      </c>
      <c r="O6" s="26">
        <v>2.99301242574659E+16</v>
      </c>
      <c r="P6" s="26">
        <v>1.35266064753988E+16</v>
      </c>
      <c r="Q6" s="26">
        <v>1121116342900910</v>
      </c>
      <c r="R6" s="26">
        <v>1.01061183583336E+16</v>
      </c>
      <c r="S6" s="26">
        <v>9047197853068600</v>
      </c>
      <c r="T6" s="26">
        <v>2.43949366497091E+16</v>
      </c>
      <c r="U6" s="5" t="s">
        <v>54</v>
      </c>
      <c r="V6" s="26">
        <v>1.03863184763807E+16</v>
      </c>
      <c r="W6" s="5" t="s">
        <v>55</v>
      </c>
      <c r="X6" s="27">
        <v>1.42355492259163E+16</v>
      </c>
    </row>
    <row r="7" spans="1:24" ht="20" hidden="1" customHeight="1" x14ac:dyDescent="0.15">
      <c r="A7" s="8" t="s">
        <v>25</v>
      </c>
      <c r="B7" s="4" t="s">
        <v>26</v>
      </c>
      <c r="C7" s="5" t="s">
        <v>56</v>
      </c>
      <c r="D7" s="26">
        <v>1.23074876220333E+16</v>
      </c>
      <c r="E7" s="26">
        <v>1889458171928300</v>
      </c>
      <c r="F7" s="26">
        <v>1.22056673484349E+16</v>
      </c>
      <c r="G7" s="26">
        <v>1.29742813924187E+16</v>
      </c>
      <c r="H7" s="26">
        <v>2.51799487408537E+16</v>
      </c>
      <c r="I7" s="5" t="s">
        <v>57</v>
      </c>
      <c r="J7" s="26">
        <v>1.3879116226227E+16</v>
      </c>
      <c r="K7" s="26">
        <v>1.71047303970774E+16</v>
      </c>
      <c r="L7" s="5" t="s">
        <v>58</v>
      </c>
      <c r="M7" s="26">
        <v>5311900032139450</v>
      </c>
      <c r="N7" s="5" t="s">
        <v>59</v>
      </c>
      <c r="O7" s="26">
        <v>3.40669663295845E+16</v>
      </c>
      <c r="P7" s="26">
        <v>2668266586256160</v>
      </c>
      <c r="Q7" s="26">
        <v>3010529858365020</v>
      </c>
      <c r="R7" s="26">
        <v>9753566278777720</v>
      </c>
      <c r="S7" s="26">
        <v>8871756627923810</v>
      </c>
      <c r="T7" s="26">
        <v>2905385237969810</v>
      </c>
      <c r="U7" s="5" t="s">
        <v>60</v>
      </c>
      <c r="V7" s="26">
        <v>1.20469804809563E+16</v>
      </c>
      <c r="W7" s="5" t="s">
        <v>61</v>
      </c>
      <c r="X7" s="27">
        <v>1.60865767082581E+16</v>
      </c>
    </row>
    <row r="8" spans="1:24" ht="20" hidden="1" customHeight="1" x14ac:dyDescent="0.15">
      <c r="A8" s="8" t="s">
        <v>25</v>
      </c>
      <c r="B8" s="4" t="s">
        <v>26</v>
      </c>
      <c r="C8" s="5" t="s">
        <v>62</v>
      </c>
      <c r="D8" s="26">
        <v>1019590688264330</v>
      </c>
      <c r="E8" s="26">
        <v>1.33475448370959E+16</v>
      </c>
      <c r="F8" s="26">
        <v>5809227910094990</v>
      </c>
      <c r="G8" s="26">
        <v>431887495779688</v>
      </c>
      <c r="H8" s="26">
        <v>1012810286789180</v>
      </c>
      <c r="I8" s="5" t="s">
        <v>63</v>
      </c>
      <c r="J8" s="26">
        <v>4240399914700120</v>
      </c>
      <c r="K8" s="26">
        <v>1.08783567184953E+16</v>
      </c>
      <c r="L8" s="5" t="s">
        <v>64</v>
      </c>
      <c r="M8" s="26">
        <v>1.06529950927595E+16</v>
      </c>
      <c r="N8" s="5" t="s">
        <v>65</v>
      </c>
      <c r="O8" s="26">
        <v>3.14324259281368E+16</v>
      </c>
      <c r="P8" s="26">
        <v>1.73932111005442E+16</v>
      </c>
      <c r="Q8" s="26">
        <v>1389862835358510</v>
      </c>
      <c r="R8" s="26">
        <v>1.04796167189984E+16</v>
      </c>
      <c r="S8" s="26">
        <v>8971836976723220</v>
      </c>
      <c r="T8" s="26">
        <v>278087028556021</v>
      </c>
      <c r="U8" s="5" t="s">
        <v>66</v>
      </c>
      <c r="V8" s="26">
        <v>1.1052053351068E+16</v>
      </c>
      <c r="W8" s="5" t="s">
        <v>67</v>
      </c>
      <c r="X8" s="27">
        <v>1.52334131797533E+16</v>
      </c>
    </row>
    <row r="9" spans="1:24" ht="20" hidden="1" customHeight="1" x14ac:dyDescent="0.15">
      <c r="A9" s="8" t="s">
        <v>25</v>
      </c>
      <c r="B9" s="4" t="s">
        <v>26</v>
      </c>
      <c r="C9" s="5" t="s">
        <v>68</v>
      </c>
      <c r="D9" s="26">
        <v>1.6231646830091E+16</v>
      </c>
      <c r="E9" s="26">
        <v>2.30003851636914E+16</v>
      </c>
      <c r="F9" s="26">
        <v>9272095580589950</v>
      </c>
      <c r="G9" s="26">
        <v>136337429694028</v>
      </c>
      <c r="H9" s="26">
        <v>2.29058385499927E+16</v>
      </c>
      <c r="I9" s="26">
        <v>-1.22437684857835E+16</v>
      </c>
      <c r="J9" s="26">
        <v>8761264311523520</v>
      </c>
      <c r="K9" s="26">
        <v>201873925286824</v>
      </c>
      <c r="L9" s="5" t="s">
        <v>69</v>
      </c>
      <c r="M9" s="26">
        <v>1.5444273326971E+16</v>
      </c>
      <c r="N9" s="5" t="s">
        <v>70</v>
      </c>
      <c r="O9" s="26">
        <v>4768661943642210</v>
      </c>
      <c r="P9" s="26">
        <v>2171942549794080</v>
      </c>
      <c r="Q9" s="26">
        <v>4237756461327430</v>
      </c>
      <c r="R9" s="26">
        <v>8131384824107610</v>
      </c>
      <c r="S9" s="26">
        <v>8887331920021820</v>
      </c>
      <c r="T9" s="26">
        <v>3.38161382706186E+16</v>
      </c>
      <c r="U9" s="5" t="s">
        <v>71</v>
      </c>
      <c r="V9" s="26">
        <v>1.66199019593048E+16</v>
      </c>
      <c r="W9" s="5" t="s">
        <v>72</v>
      </c>
      <c r="X9" s="27">
        <v>2.12045149295732E+16</v>
      </c>
    </row>
    <row r="10" spans="1:24" ht="20" hidden="1" customHeight="1" x14ac:dyDescent="0.15">
      <c r="A10" s="8" t="s">
        <v>25</v>
      </c>
      <c r="B10" s="4" t="s">
        <v>26</v>
      </c>
      <c r="C10" s="5" t="s">
        <v>73</v>
      </c>
      <c r="D10" s="26">
        <v>1.53696499393829E+16</v>
      </c>
      <c r="E10" s="26">
        <v>2.15895714094337E+16</v>
      </c>
      <c r="F10" s="26">
        <v>6109132901718450</v>
      </c>
      <c r="G10" s="26">
        <v>1.18877604206262E+16</v>
      </c>
      <c r="H10" s="26">
        <v>1.79968933223447E+16</v>
      </c>
      <c r="I10" s="26">
        <v>-1.26681584346792E+16</v>
      </c>
      <c r="J10" s="26">
        <v>7025023620876600</v>
      </c>
      <c r="K10" s="26">
        <v>2344390762830190</v>
      </c>
      <c r="L10" s="5" t="s">
        <v>74</v>
      </c>
      <c r="M10" s="26">
        <v>1546099541882800</v>
      </c>
      <c r="N10" s="5" t="s">
        <v>75</v>
      </c>
      <c r="O10" s="26">
        <v>4190573559787070</v>
      </c>
      <c r="P10" s="26">
        <v>1.78904455941769E+16</v>
      </c>
      <c r="Q10" s="26">
        <v>4.0966082218826E+16</v>
      </c>
      <c r="R10" s="26">
        <v>9801032688152340</v>
      </c>
      <c r="S10" s="26">
        <v>8642584856874000</v>
      </c>
      <c r="T10" s="26">
        <v>3.3356706096532E+16</v>
      </c>
      <c r="U10" s="5" t="s">
        <v>76</v>
      </c>
      <c r="V10" s="26">
        <v>1.54339462157725E+16</v>
      </c>
      <c r="W10" s="5" t="s">
        <v>77</v>
      </c>
      <c r="X10" s="27">
        <v>2.00073380900558E+16</v>
      </c>
    </row>
    <row r="11" spans="1:24" ht="20" customHeight="1" x14ac:dyDescent="0.15">
      <c r="A11" s="8" t="s">
        <v>78</v>
      </c>
      <c r="B11" s="4" t="s">
        <v>26</v>
      </c>
      <c r="C11" s="5" t="s">
        <v>181</v>
      </c>
      <c r="D11" s="18">
        <v>0.378562136608669</v>
      </c>
      <c r="E11" s="18">
        <v>0.46986345248472799</v>
      </c>
      <c r="F11" s="18">
        <v>1.4025355244967701</v>
      </c>
      <c r="G11" s="18">
        <v>1.27740931159475</v>
      </c>
      <c r="H11" s="18">
        <v>2.6799448360915199</v>
      </c>
      <c r="I11" s="18">
        <v>7.7461509739568807E-2</v>
      </c>
      <c r="J11" s="18">
        <v>2.7779048909497499</v>
      </c>
      <c r="K11" s="18">
        <v>3.3197565834448901</v>
      </c>
      <c r="L11" s="18">
        <v>0.26109635957680299</v>
      </c>
      <c r="M11" s="18">
        <v>50.309053255661901</v>
      </c>
      <c r="N11" s="18">
        <v>0.245906965677331</v>
      </c>
      <c r="O11" s="18">
        <v>1.26742619374443</v>
      </c>
      <c r="P11" s="18">
        <v>0.44055908318144199</v>
      </c>
      <c r="Q11" s="18">
        <v>0.38788936444605399</v>
      </c>
      <c r="R11" s="18">
        <v>9.35848404668155</v>
      </c>
      <c r="S11" s="18">
        <v>91.323279647264201</v>
      </c>
      <c r="T11" s="18">
        <v>0.942406862434646</v>
      </c>
      <c r="U11" s="18">
        <v>2.2299020459082702E-2</v>
      </c>
      <c r="V11" s="18">
        <v>0.43207027480403798</v>
      </c>
      <c r="W11" s="18">
        <v>4.9228432722471002E-2</v>
      </c>
      <c r="X11" s="19">
        <v>0.58344120734537896</v>
      </c>
    </row>
    <row r="12" spans="1:24" ht="20" customHeight="1" x14ac:dyDescent="0.15">
      <c r="A12" s="8" t="s">
        <v>78</v>
      </c>
      <c r="B12" s="4" t="s">
        <v>26</v>
      </c>
      <c r="C12" s="5" t="s">
        <v>182</v>
      </c>
      <c r="D12" s="18">
        <v>0.508562690560866</v>
      </c>
      <c r="E12" s="18">
        <v>0.64689307767281701</v>
      </c>
      <c r="F12" s="18">
        <v>2.3692516599167899</v>
      </c>
      <c r="G12" s="18">
        <v>1.8468011540170399</v>
      </c>
      <c r="H12" s="18">
        <v>4.21605281393383</v>
      </c>
      <c r="I12" s="18">
        <v>0.32401025049419502</v>
      </c>
      <c r="J12" s="18">
        <v>3.30575752978904</v>
      </c>
      <c r="K12" s="18">
        <v>17.802466498349599</v>
      </c>
      <c r="L12" s="18">
        <v>0.65725181421798196</v>
      </c>
      <c r="M12" s="18">
        <v>58.063332438934303</v>
      </c>
      <c r="N12" s="18">
        <v>0.25252334923249298</v>
      </c>
      <c r="O12" s="18">
        <v>1.60998404480055</v>
      </c>
      <c r="P12" s="18">
        <v>0.79084559178927205</v>
      </c>
      <c r="Q12" s="18">
        <v>0.55264691847714598</v>
      </c>
      <c r="R12" s="18">
        <v>11.632561607975999</v>
      </c>
      <c r="S12" s="18">
        <v>91.602631576851806</v>
      </c>
      <c r="T12" s="18">
        <v>1.4393499012879201</v>
      </c>
      <c r="U12" s="18">
        <v>3.8767332281448699E-2</v>
      </c>
      <c r="V12" s="18">
        <v>0.55882077068218705</v>
      </c>
      <c r="W12" s="18">
        <v>6.4846230950653505E-2</v>
      </c>
      <c r="X12" s="19">
        <v>0.81194451404496104</v>
      </c>
    </row>
    <row r="13" spans="1:24" ht="20" customHeight="1" x14ac:dyDescent="0.15">
      <c r="A13" s="8" t="s">
        <v>78</v>
      </c>
      <c r="B13" s="4" t="s">
        <v>26</v>
      </c>
      <c r="C13" s="5" t="s">
        <v>183</v>
      </c>
      <c r="D13" s="18">
        <v>0.378927400930338</v>
      </c>
      <c r="E13" s="18">
        <v>0.472774729029797</v>
      </c>
      <c r="F13" s="18">
        <v>1.50212755837223</v>
      </c>
      <c r="G13" s="18">
        <v>1.39811484881632</v>
      </c>
      <c r="H13" s="18">
        <v>2.90024240718855</v>
      </c>
      <c r="I13" s="18">
        <v>4.7559166082707098E-2</v>
      </c>
      <c r="J13" s="18">
        <v>2.85964789907263</v>
      </c>
      <c r="K13" s="18">
        <v>6.5212356096571797</v>
      </c>
      <c r="L13" s="18">
        <v>0.37920313243807602</v>
      </c>
      <c r="M13" s="18">
        <v>43.979518022585303</v>
      </c>
      <c r="N13" s="18">
        <v>0.119902586171555</v>
      </c>
      <c r="O13" s="18">
        <v>1.2506378327872201</v>
      </c>
      <c r="P13" s="18">
        <v>0.44183528985478099</v>
      </c>
      <c r="Q13" s="18">
        <v>0.42595612030998198</v>
      </c>
      <c r="R13" s="18">
        <v>9.8472839231871596</v>
      </c>
      <c r="S13" s="18">
        <v>91.062785844787697</v>
      </c>
      <c r="T13" s="18">
        <v>0.94584978397463404</v>
      </c>
      <c r="U13" s="18">
        <v>2.2156937052915899E-2</v>
      </c>
      <c r="V13" s="18">
        <v>0.42776975431005798</v>
      </c>
      <c r="W13" s="18">
        <v>5.1467398109431198E-2</v>
      </c>
      <c r="X13" s="19">
        <v>0.58595197205416605</v>
      </c>
    </row>
    <row r="14" spans="1:24" ht="20" customHeight="1" x14ac:dyDescent="0.15">
      <c r="A14" s="8" t="s">
        <v>78</v>
      </c>
      <c r="B14" s="4" t="s">
        <v>26</v>
      </c>
      <c r="C14" s="5" t="s">
        <v>184</v>
      </c>
      <c r="D14" s="18">
        <v>0.356871268090725</v>
      </c>
      <c r="E14" s="18">
        <v>0.446804845828768</v>
      </c>
      <c r="F14" s="18">
        <v>1.41692214607517</v>
      </c>
      <c r="G14" s="18">
        <v>1.3561036009892899</v>
      </c>
      <c r="H14" s="18">
        <v>2.7730257470644601</v>
      </c>
      <c r="I14" s="18">
        <v>9.3381923052830995E-2</v>
      </c>
      <c r="J14" s="18">
        <v>2.9564744143286399</v>
      </c>
      <c r="K14" s="18">
        <v>7.3863096276753897</v>
      </c>
      <c r="L14" s="18">
        <v>0.41330947864472001</v>
      </c>
      <c r="M14" s="18">
        <v>60.701891384794799</v>
      </c>
      <c r="N14" s="18">
        <v>0.25778471505508299</v>
      </c>
      <c r="O14" s="18">
        <v>1.1751051692100301</v>
      </c>
      <c r="P14" s="18">
        <v>0.44829225241147203</v>
      </c>
      <c r="Q14" s="18">
        <v>0.40060468508073299</v>
      </c>
      <c r="R14" s="18">
        <v>9.9627577655964501</v>
      </c>
      <c r="S14" s="18">
        <v>91.361594253919705</v>
      </c>
      <c r="T14" s="18">
        <v>0.91747761281523799</v>
      </c>
      <c r="U14" s="18">
        <v>2.2441746061424499E-2</v>
      </c>
      <c r="V14" s="18">
        <v>0.40063090535260898</v>
      </c>
      <c r="W14" s="18">
        <v>4.7732777329265098E-2</v>
      </c>
      <c r="X14" s="19">
        <v>0.55254127141192499</v>
      </c>
    </row>
    <row r="15" spans="1:24" ht="20" customHeight="1" x14ac:dyDescent="0.15">
      <c r="A15" s="8" t="s">
        <v>78</v>
      </c>
      <c r="B15" s="4" t="s">
        <v>26</v>
      </c>
      <c r="C15" s="5" t="s">
        <v>185</v>
      </c>
      <c r="D15" s="18">
        <v>0.40238955685970501</v>
      </c>
      <c r="E15" s="18">
        <v>0.50094351403347304</v>
      </c>
      <c r="F15" s="18">
        <v>1.5144977004220299</v>
      </c>
      <c r="G15" s="18">
        <v>1.4584041713046201</v>
      </c>
      <c r="H15" s="18">
        <v>2.9729018717266502</v>
      </c>
      <c r="I15" s="18">
        <v>5.0867494021749497E-2</v>
      </c>
      <c r="J15" s="18">
        <v>2.79540131846294</v>
      </c>
      <c r="K15" s="18">
        <v>7.8760937862615901</v>
      </c>
      <c r="L15" s="18">
        <v>0.42349402686204302</v>
      </c>
      <c r="M15" s="18">
        <v>49.862381997432003</v>
      </c>
      <c r="N15" s="18">
        <v>0.128327455386883</v>
      </c>
      <c r="O15" s="18">
        <v>1.3327326346389301</v>
      </c>
      <c r="P15" s="18">
        <v>0.46267325585797597</v>
      </c>
      <c r="Q15" s="18">
        <v>0.43034353619631399</v>
      </c>
      <c r="R15" s="18">
        <v>9.7281345856755497</v>
      </c>
      <c r="S15" s="18">
        <v>90.9204059417808</v>
      </c>
      <c r="T15" s="18">
        <v>0.999531836122172</v>
      </c>
      <c r="U15" s="18">
        <v>2.3295510211686899E-2</v>
      </c>
      <c r="V15" s="18">
        <v>0.45978641193651998</v>
      </c>
      <c r="W15" s="18">
        <v>5.3539575830591199E-2</v>
      </c>
      <c r="X15" s="19">
        <v>0.62333094419427004</v>
      </c>
    </row>
    <row r="16" spans="1:24" ht="20" customHeight="1" x14ac:dyDescent="0.15">
      <c r="A16" s="8" t="s">
        <v>78</v>
      </c>
      <c r="B16" s="4" t="s">
        <v>26</v>
      </c>
      <c r="C16" s="5" t="s">
        <v>186</v>
      </c>
      <c r="D16" s="18">
        <v>0.37362183893009598</v>
      </c>
      <c r="E16" s="18">
        <v>0.46442404139641602</v>
      </c>
      <c r="F16" s="18">
        <v>1.4234167397127699</v>
      </c>
      <c r="G16" s="18">
        <v>1.23525332725987</v>
      </c>
      <c r="H16" s="18">
        <v>2.6586700669726402</v>
      </c>
      <c r="I16" s="18">
        <v>0.162545554326117</v>
      </c>
      <c r="J16" s="18">
        <v>2.8146336952598601</v>
      </c>
      <c r="K16" s="18">
        <v>4.0952566968963202</v>
      </c>
      <c r="L16" s="18">
        <v>0.293639325704034</v>
      </c>
      <c r="M16" s="18">
        <v>75.721605158558702</v>
      </c>
      <c r="N16" s="18">
        <v>0.122299106691225</v>
      </c>
      <c r="O16" s="18">
        <v>1.24096920610303</v>
      </c>
      <c r="P16" s="18">
        <v>0.461138609454324</v>
      </c>
      <c r="Q16" s="18">
        <v>0.36875334887268502</v>
      </c>
      <c r="R16" s="18">
        <v>10.253991014237499</v>
      </c>
      <c r="S16" s="18">
        <v>91.928308457909495</v>
      </c>
      <c r="T16" s="18">
        <v>0.96492858312210905</v>
      </c>
      <c r="U16" s="18">
        <v>2.2916204577970199E-2</v>
      </c>
      <c r="V16" s="18">
        <v>0.42303964196273203</v>
      </c>
      <c r="W16" s="18">
        <v>4.6535210594238097E-2</v>
      </c>
      <c r="X16" s="19">
        <v>0.58946168943674504</v>
      </c>
    </row>
    <row r="17" spans="1:24" ht="20" customHeight="1" x14ac:dyDescent="0.15">
      <c r="A17" s="8" t="s">
        <v>78</v>
      </c>
      <c r="B17" s="4" t="s">
        <v>26</v>
      </c>
      <c r="C17" s="5" t="s">
        <v>187</v>
      </c>
      <c r="D17" s="18">
        <v>0.42953428316534098</v>
      </c>
      <c r="E17" s="18">
        <v>0.53700885516944796</v>
      </c>
      <c r="F17" s="18">
        <v>1.8862944717362899</v>
      </c>
      <c r="G17" s="18">
        <v>1.3711303881397401</v>
      </c>
      <c r="H17" s="18">
        <v>3.25742485987604</v>
      </c>
      <c r="I17" s="18">
        <v>0.35863154287087301</v>
      </c>
      <c r="J17" s="18">
        <v>3.0432564775779101</v>
      </c>
      <c r="K17" s="18">
        <v>10.6961528923337</v>
      </c>
      <c r="L17" s="18">
        <v>0.49656071456648099</v>
      </c>
      <c r="M17" s="18">
        <v>47.631092363518803</v>
      </c>
      <c r="N17" s="18">
        <v>0.14291878171526501</v>
      </c>
      <c r="O17" s="18">
        <v>1.41444117997393</v>
      </c>
      <c r="P17" s="18">
        <v>0.62441892420692002</v>
      </c>
      <c r="Q17" s="18">
        <v>0.36862553225877798</v>
      </c>
      <c r="R17" s="18">
        <v>10.865353690038001</v>
      </c>
      <c r="S17" s="18">
        <v>92.775909071103996</v>
      </c>
      <c r="T17" s="18">
        <v>1.1906373105481101</v>
      </c>
      <c r="U17" s="18">
        <v>3.0833742137732299E-2</v>
      </c>
      <c r="V17" s="18">
        <v>0.48168576256590101</v>
      </c>
      <c r="W17" s="18">
        <v>4.8842568723325298E-2</v>
      </c>
      <c r="X17" s="19">
        <v>0.68782746522189597</v>
      </c>
    </row>
    <row r="18" spans="1:24" ht="20" customHeight="1" x14ac:dyDescent="0.15">
      <c r="A18" s="8" t="s">
        <v>78</v>
      </c>
      <c r="B18" s="4" t="s">
        <v>26</v>
      </c>
      <c r="C18" s="5" t="s">
        <v>188</v>
      </c>
      <c r="D18" s="20">
        <v>0.35108389178642002</v>
      </c>
      <c r="E18" s="18">
        <v>0.43590129385642401</v>
      </c>
      <c r="F18" s="18">
        <v>1.3669609252336801</v>
      </c>
      <c r="G18" s="18">
        <v>1.1386180849935601</v>
      </c>
      <c r="H18" s="18">
        <v>2.5055790102272502</v>
      </c>
      <c r="I18" s="18">
        <v>0.20776573848515101</v>
      </c>
      <c r="J18" s="18">
        <v>2.8064180882532099</v>
      </c>
      <c r="K18" s="18">
        <v>5.4062661201583504</v>
      </c>
      <c r="L18" s="18">
        <v>0.33959135858150402</v>
      </c>
      <c r="M18" s="18">
        <v>66.010193938706493</v>
      </c>
      <c r="N18" s="18">
        <v>0.179968123941464</v>
      </c>
      <c r="O18" s="18">
        <v>1.16540445923213</v>
      </c>
      <c r="P18" s="18">
        <v>0.44209570709267199</v>
      </c>
      <c r="Q18" s="18">
        <v>0.32565040417973001</v>
      </c>
      <c r="R18" s="18">
        <v>10.500427651061001</v>
      </c>
      <c r="S18" s="18">
        <v>92.168656067114696</v>
      </c>
      <c r="T18" s="18">
        <v>0.91853465399785095</v>
      </c>
      <c r="U18" s="18">
        <v>2.1851093615923502E-2</v>
      </c>
      <c r="V18" s="18">
        <v>0.39690475947126103</v>
      </c>
      <c r="W18" s="18">
        <v>4.2535332194370702E-2</v>
      </c>
      <c r="X18" s="19">
        <v>0.55779600135126295</v>
      </c>
    </row>
    <row r="19" spans="1:24" ht="20" hidden="1" customHeight="1" x14ac:dyDescent="0.15">
      <c r="A19" s="8" t="s">
        <v>25</v>
      </c>
      <c r="B19" s="4" t="s">
        <v>26</v>
      </c>
      <c r="C19" s="5" t="s">
        <v>79</v>
      </c>
      <c r="D19" s="26">
        <v>1081681070305840</v>
      </c>
      <c r="E19" s="26">
        <v>1.36375435124805E+16</v>
      </c>
      <c r="F19" s="26">
        <v>4477376777189810</v>
      </c>
      <c r="G19" s="26">
        <v>3706131048738120</v>
      </c>
      <c r="H19" s="26">
        <v>8183507825927940</v>
      </c>
      <c r="I19" s="5" t="s">
        <v>80</v>
      </c>
      <c r="J19" s="26">
        <v>3.08648467463968E+16</v>
      </c>
      <c r="K19" s="26">
        <v>1.27502168123332E+16</v>
      </c>
      <c r="L19" s="5" t="s">
        <v>81</v>
      </c>
      <c r="M19" s="26">
        <v>2.00016555384154E+16</v>
      </c>
      <c r="N19" s="5" t="s">
        <v>82</v>
      </c>
      <c r="O19" s="26">
        <v>3.47848283043725E+16</v>
      </c>
      <c r="P19" s="26">
        <v>1579678701448990</v>
      </c>
      <c r="Q19" s="26">
        <v>1.08368568814898E+16</v>
      </c>
      <c r="R19" s="26">
        <v>1.12600767712171E+16</v>
      </c>
      <c r="S19" s="26">
        <v>9155551387753420</v>
      </c>
      <c r="T19" s="26">
        <v>2.98469418822947E+16</v>
      </c>
      <c r="U19" s="5" t="s">
        <v>83</v>
      </c>
      <c r="V19" s="26">
        <v>1.20355275000247E+16</v>
      </c>
      <c r="W19" s="5" t="s">
        <v>84</v>
      </c>
      <c r="X19" s="27">
        <v>1.72720704154861E+16</v>
      </c>
    </row>
    <row r="20" spans="1:24" ht="20" hidden="1" customHeight="1" x14ac:dyDescent="0.15">
      <c r="A20" s="8" t="s">
        <v>25</v>
      </c>
      <c r="B20" s="4" t="s">
        <v>26</v>
      </c>
      <c r="C20" s="5" t="s">
        <v>85</v>
      </c>
      <c r="D20" s="26">
        <v>1.1001823210857E+16</v>
      </c>
      <c r="E20" s="26">
        <v>1.39925667671795E+16</v>
      </c>
      <c r="F20" s="26">
        <v>4094402472078580</v>
      </c>
      <c r="G20" s="26">
        <v>5074184586121640</v>
      </c>
      <c r="H20" s="26">
        <v>916858705820023</v>
      </c>
      <c r="I20" s="5" t="s">
        <v>86</v>
      </c>
      <c r="J20" s="26">
        <v>3.31357758729317E+16</v>
      </c>
      <c r="K20" s="26">
        <v>1.11496374574904E+16</v>
      </c>
      <c r="L20" s="5" t="s">
        <v>87</v>
      </c>
      <c r="M20" s="26">
        <v>2.53394191052868E+16</v>
      </c>
      <c r="N20" s="5" t="s">
        <v>88</v>
      </c>
      <c r="O20" s="26">
        <v>3.5201813307028E+16</v>
      </c>
      <c r="P20" s="26">
        <v>1.29247100250359E+16</v>
      </c>
      <c r="Q20" s="26">
        <v>1.60350208176509E+16</v>
      </c>
      <c r="R20" s="26">
        <v>932049477201071</v>
      </c>
      <c r="S20" s="26">
        <v>8952371078287140</v>
      </c>
      <c r="T20" s="26">
        <v>2.6505847678815E+16</v>
      </c>
      <c r="U20" s="5" t="s">
        <v>89</v>
      </c>
      <c r="V20" s="26">
        <v>1230428449991770</v>
      </c>
      <c r="W20" s="5" t="s">
        <v>90</v>
      </c>
      <c r="X20" s="27">
        <v>1.62952901111065E+16</v>
      </c>
    </row>
    <row r="21" spans="1:24" ht="20" hidden="1" customHeight="1" x14ac:dyDescent="0.15">
      <c r="A21" s="8" t="s">
        <v>25</v>
      </c>
      <c r="B21" s="4" t="s">
        <v>26</v>
      </c>
      <c r="C21" s="5" t="s">
        <v>91</v>
      </c>
      <c r="D21" s="26">
        <v>1044357057096320</v>
      </c>
      <c r="E21" s="26">
        <v>1.33201350964374E+16</v>
      </c>
      <c r="F21" s="26">
        <v>4816533435356680</v>
      </c>
      <c r="G21" s="26">
        <v>3.9429252005784496E+16</v>
      </c>
      <c r="H21" s="26">
        <v>8759458635935140</v>
      </c>
      <c r="I21" s="5" t="s">
        <v>92</v>
      </c>
      <c r="J21" s="26">
        <v>3.38600743110855E+16</v>
      </c>
      <c r="K21" s="26">
        <v>1190142317919400</v>
      </c>
      <c r="L21" s="5" t="s">
        <v>93</v>
      </c>
      <c r="M21" s="26">
        <v>2.430322132409E+16</v>
      </c>
      <c r="N21" s="5" t="s">
        <v>94</v>
      </c>
      <c r="O21" s="26">
        <v>3.32396892770739E+16</v>
      </c>
      <c r="P21" s="26">
        <v>1.60540582769255E+16</v>
      </c>
      <c r="Q21" s="26">
        <v>1.1779161706934E+16</v>
      </c>
      <c r="R21" s="26">
        <v>1.08344403058112E+16</v>
      </c>
      <c r="S21" s="26">
        <v>9090061501583710</v>
      </c>
      <c r="T21" s="26">
        <v>2873609105701390</v>
      </c>
      <c r="U21" s="5" t="s">
        <v>95</v>
      </c>
      <c r="V21" s="26">
        <v>1155802523382050</v>
      </c>
      <c r="W21" s="5" t="s">
        <v>96</v>
      </c>
      <c r="X21" s="27">
        <v>1.62734022953775E+16</v>
      </c>
    </row>
    <row r="22" spans="1:24" ht="20" hidden="1" customHeight="1" x14ac:dyDescent="0.15">
      <c r="A22" s="8" t="s">
        <v>25</v>
      </c>
      <c r="B22" s="4" t="s">
        <v>26</v>
      </c>
      <c r="C22" s="5" t="s">
        <v>97</v>
      </c>
      <c r="D22" s="26">
        <v>1.19287985113094E+16</v>
      </c>
      <c r="E22" s="26">
        <v>1.58670991819995E+16</v>
      </c>
      <c r="F22" s="26">
        <v>4120183932723650</v>
      </c>
      <c r="G22" s="26">
        <v>7164676793210920</v>
      </c>
      <c r="H22" s="26">
        <v>1.12848607259345E+16</v>
      </c>
      <c r="I22" s="5" t="s">
        <v>98</v>
      </c>
      <c r="J22" s="26">
        <v>5096578142888850</v>
      </c>
      <c r="K22" s="5" t="s">
        <v>99</v>
      </c>
      <c r="L22" s="5" t="s">
        <v>100</v>
      </c>
      <c r="M22" s="26">
        <v>3693885299245600</v>
      </c>
      <c r="N22" s="5" t="s">
        <v>101</v>
      </c>
      <c r="O22" s="26">
        <v>3542251940756720</v>
      </c>
      <c r="P22" s="26">
        <v>1106149066529280</v>
      </c>
      <c r="Q22" s="26">
        <v>2.59332391627932E+16</v>
      </c>
      <c r="R22" s="26">
        <v>8411601336484280</v>
      </c>
      <c r="S22" s="26">
        <v>871196905483624</v>
      </c>
      <c r="T22" s="26">
        <v>2.4733418341903E+16</v>
      </c>
      <c r="U22" s="5" t="s">
        <v>102</v>
      </c>
      <c r="V22" s="26">
        <v>1.28721618654286E+16</v>
      </c>
      <c r="W22" s="5" t="s">
        <v>103</v>
      </c>
      <c r="X22" s="27">
        <v>1.60881762523078E+16</v>
      </c>
    </row>
    <row r="23" spans="1:24" ht="20" hidden="1" customHeight="1" x14ac:dyDescent="0.15">
      <c r="A23" s="8" t="s">
        <v>25</v>
      </c>
      <c r="B23" s="4" t="s">
        <v>26</v>
      </c>
      <c r="C23" s="5" t="s">
        <v>104</v>
      </c>
      <c r="D23" s="5" t="s">
        <v>105</v>
      </c>
      <c r="E23" s="26">
        <v>1.20949148350059E+16</v>
      </c>
      <c r="F23" s="26">
        <v>4190121746106220</v>
      </c>
      <c r="G23" s="26">
        <v>4097169196469110</v>
      </c>
      <c r="H23" s="26">
        <v>8287290942575330</v>
      </c>
      <c r="I23" s="5" t="s">
        <v>106</v>
      </c>
      <c r="J23" s="26">
        <v>3.26660270104819E+16</v>
      </c>
      <c r="K23" s="26">
        <v>1.24404857714208E+16</v>
      </c>
      <c r="L23" s="5" t="s">
        <v>107</v>
      </c>
      <c r="M23" s="26">
        <v>9601815868267150</v>
      </c>
      <c r="N23" s="5" t="s">
        <v>108</v>
      </c>
      <c r="O23" s="26">
        <v>3040169301212130</v>
      </c>
      <c r="P23" s="26">
        <v>1.40037677538535E+16</v>
      </c>
      <c r="Q23" s="26">
        <v>1.06918372780607E+16</v>
      </c>
      <c r="R23" s="26">
        <v>1.11266364368924E+16</v>
      </c>
      <c r="S23" s="5" t="s">
        <v>109</v>
      </c>
      <c r="T23" s="5" t="s">
        <v>110</v>
      </c>
      <c r="U23" s="5" t="s">
        <v>111</v>
      </c>
      <c r="V23" s="5" t="s">
        <v>112</v>
      </c>
      <c r="W23" s="5" t="s">
        <v>113</v>
      </c>
      <c r="X23" s="9" t="s">
        <v>114</v>
      </c>
    </row>
    <row r="24" spans="1:24" ht="20" hidden="1" customHeight="1" x14ac:dyDescent="0.15">
      <c r="A24" s="8" t="s">
        <v>25</v>
      </c>
      <c r="B24" s="4" t="s">
        <v>26</v>
      </c>
      <c r="C24" s="5" t="s">
        <v>115</v>
      </c>
      <c r="D24" s="5" t="s">
        <v>116</v>
      </c>
      <c r="E24" s="5" t="s">
        <v>117</v>
      </c>
      <c r="F24" s="5" t="s">
        <v>118</v>
      </c>
      <c r="G24" s="5" t="s">
        <v>119</v>
      </c>
      <c r="H24" s="5" t="s">
        <v>120</v>
      </c>
      <c r="I24" s="5" t="s">
        <v>121</v>
      </c>
      <c r="J24" s="5" t="s">
        <v>122</v>
      </c>
      <c r="K24" s="5" t="s">
        <v>123</v>
      </c>
      <c r="L24" s="5" t="s">
        <v>124</v>
      </c>
      <c r="M24" s="5" t="s">
        <v>125</v>
      </c>
      <c r="N24" s="5" t="s">
        <v>126</v>
      </c>
      <c r="O24" s="5" t="s">
        <v>127</v>
      </c>
      <c r="P24" s="5" t="s">
        <v>128</v>
      </c>
      <c r="Q24" s="5" t="s">
        <v>129</v>
      </c>
      <c r="R24" s="5" t="s">
        <v>130</v>
      </c>
      <c r="S24" s="5" t="s">
        <v>131</v>
      </c>
      <c r="T24" s="5" t="s">
        <v>132</v>
      </c>
      <c r="U24" s="5" t="s">
        <v>133</v>
      </c>
      <c r="V24" s="5" t="s">
        <v>134</v>
      </c>
      <c r="W24" s="5" t="s">
        <v>135</v>
      </c>
      <c r="X24" s="9" t="s">
        <v>136</v>
      </c>
    </row>
    <row r="25" spans="1:24" ht="20" hidden="1" customHeight="1" x14ac:dyDescent="0.15">
      <c r="A25" s="8" t="s">
        <v>25</v>
      </c>
      <c r="B25" s="4" t="s">
        <v>26</v>
      </c>
      <c r="C25" s="5" t="s">
        <v>137</v>
      </c>
      <c r="D25" s="5" t="s">
        <v>138</v>
      </c>
      <c r="E25" s="5" t="s">
        <v>139</v>
      </c>
      <c r="F25" s="5" t="s">
        <v>140</v>
      </c>
      <c r="G25" s="5" t="s">
        <v>141</v>
      </c>
      <c r="H25" s="5" t="s">
        <v>142</v>
      </c>
      <c r="I25" s="5" t="s">
        <v>143</v>
      </c>
      <c r="J25" s="5" t="s">
        <v>144</v>
      </c>
      <c r="K25" s="5" t="s">
        <v>145</v>
      </c>
      <c r="L25" s="5" t="s">
        <v>146</v>
      </c>
      <c r="M25" s="5" t="s">
        <v>147</v>
      </c>
      <c r="N25" s="5" t="s">
        <v>148</v>
      </c>
      <c r="O25" s="5" t="s">
        <v>149</v>
      </c>
      <c r="P25" s="5" t="s">
        <v>150</v>
      </c>
      <c r="Q25" s="5" t="s">
        <v>151</v>
      </c>
      <c r="R25" s="5" t="s">
        <v>152</v>
      </c>
      <c r="S25" s="5" t="s">
        <v>153</v>
      </c>
      <c r="T25" s="5" t="s">
        <v>154</v>
      </c>
      <c r="U25" s="5" t="s">
        <v>155</v>
      </c>
      <c r="V25" s="5" t="s">
        <v>156</v>
      </c>
      <c r="W25" s="5" t="s">
        <v>157</v>
      </c>
      <c r="X25" s="9" t="s">
        <v>158</v>
      </c>
    </row>
    <row r="26" spans="1:24" ht="20" hidden="1" customHeight="1" x14ac:dyDescent="0.15">
      <c r="A26" s="8" t="s">
        <v>25</v>
      </c>
      <c r="B26" s="4" t="s">
        <v>26</v>
      </c>
      <c r="C26" s="5" t="s">
        <v>159</v>
      </c>
      <c r="D26" s="5" t="s">
        <v>160</v>
      </c>
      <c r="E26" s="5" t="s">
        <v>161</v>
      </c>
      <c r="F26" s="5" t="s">
        <v>162</v>
      </c>
      <c r="G26" s="5" t="s">
        <v>163</v>
      </c>
      <c r="H26" s="5" t="s">
        <v>164</v>
      </c>
      <c r="I26" s="5" t="s">
        <v>165</v>
      </c>
      <c r="J26" s="5" t="s">
        <v>166</v>
      </c>
      <c r="K26" s="5" t="s">
        <v>167</v>
      </c>
      <c r="L26" s="5" t="s">
        <v>168</v>
      </c>
      <c r="M26" s="5" t="s">
        <v>169</v>
      </c>
      <c r="N26" s="5" t="s">
        <v>170</v>
      </c>
      <c r="O26" s="5" t="s">
        <v>171</v>
      </c>
      <c r="P26" s="5" t="s">
        <v>172</v>
      </c>
      <c r="Q26" s="5" t="s">
        <v>173</v>
      </c>
      <c r="R26" s="5" t="s">
        <v>174</v>
      </c>
      <c r="S26" s="5" t="s">
        <v>175</v>
      </c>
      <c r="T26" s="5" t="s">
        <v>176</v>
      </c>
      <c r="U26" s="5" t="s">
        <v>177</v>
      </c>
      <c r="V26" s="5" t="s">
        <v>178</v>
      </c>
      <c r="W26" s="5" t="s">
        <v>179</v>
      </c>
      <c r="X26" s="9" t="s">
        <v>180</v>
      </c>
    </row>
    <row r="27" spans="1:24" ht="20" customHeight="1" x14ac:dyDescent="0.15">
      <c r="A27" s="8" t="s">
        <v>78</v>
      </c>
      <c r="B27" s="4" t="s">
        <v>26</v>
      </c>
      <c r="C27" s="5" t="s">
        <v>189</v>
      </c>
      <c r="D27" s="18">
        <v>0.36517656410969002</v>
      </c>
      <c r="E27" s="18">
        <v>0.46256205941034001</v>
      </c>
      <c r="F27" s="18">
        <v>1.24388797568014</v>
      </c>
      <c r="G27" s="18">
        <v>1.72852700876476</v>
      </c>
      <c r="H27" s="18">
        <v>2.9724149844449101</v>
      </c>
      <c r="I27" s="18">
        <v>-0.398058683390207</v>
      </c>
      <c r="J27" s="18">
        <v>3.3512877606341802</v>
      </c>
      <c r="K27" s="18">
        <v>5.6992408850300604</v>
      </c>
      <c r="L27" s="18">
        <v>0.35378898324267799</v>
      </c>
      <c r="M27" s="18">
        <v>46.369982435332702</v>
      </c>
      <c r="N27" s="18">
        <v>3.3406956089436397E-2</v>
      </c>
      <c r="O27" s="18">
        <v>1.1875713323516</v>
      </c>
      <c r="P27" s="18">
        <v>0.332220948015444</v>
      </c>
      <c r="Q27" s="18">
        <v>0.58381200766359398</v>
      </c>
      <c r="R27" s="18">
        <v>8.2013566489439302</v>
      </c>
      <c r="S27" s="18">
        <v>89.502606249116099</v>
      </c>
      <c r="T27" s="18">
        <v>0.80664678106015197</v>
      </c>
      <c r="U27" s="18">
        <v>1.7477920334596799E-2</v>
      </c>
      <c r="V27" s="18">
        <v>0.409715527009337</v>
      </c>
      <c r="W27" s="18">
        <v>6.1161976331817497E-2</v>
      </c>
      <c r="X27" s="19">
        <v>0.52935956133116602</v>
      </c>
    </row>
    <row r="28" spans="1:24" ht="20" customHeight="1" x14ac:dyDescent="0.15">
      <c r="A28" s="8" t="s">
        <v>78</v>
      </c>
      <c r="B28" s="4" t="s">
        <v>26</v>
      </c>
      <c r="C28" s="5" t="s">
        <v>190</v>
      </c>
      <c r="D28" s="18">
        <v>0.65822257646386295</v>
      </c>
      <c r="E28" s="18">
        <v>0.85097075005630396</v>
      </c>
      <c r="F28" s="18">
        <v>2.2529884996106202</v>
      </c>
      <c r="G28" s="18">
        <v>3.2248274891593001</v>
      </c>
      <c r="H28" s="18">
        <v>5.4778159887699198</v>
      </c>
      <c r="I28" s="18">
        <v>-0.47720233335104101</v>
      </c>
      <c r="J28" s="18">
        <v>3.65170827234033</v>
      </c>
      <c r="K28" s="18">
        <v>11.790375859237599</v>
      </c>
      <c r="L28" s="18">
        <v>0.52564165338430702</v>
      </c>
      <c r="M28" s="18">
        <v>32.682523186917997</v>
      </c>
      <c r="N28" s="18">
        <v>1.91152067486863E-2</v>
      </c>
      <c r="O28" s="18">
        <v>2.0053413157486899</v>
      </c>
      <c r="P28" s="18">
        <v>0.70621884589068995</v>
      </c>
      <c r="Q28" s="18">
        <v>1.15371554004182</v>
      </c>
      <c r="R28" s="18">
        <v>9.0492075764645996</v>
      </c>
      <c r="S28" s="18">
        <v>87.248493137995794</v>
      </c>
      <c r="T28" s="18">
        <v>1.48871593097692</v>
      </c>
      <c r="U28" s="18">
        <v>3.6014877387531702E-2</v>
      </c>
      <c r="V28" s="18">
        <v>0.73052658273065196</v>
      </c>
      <c r="W28" s="18">
        <v>0.122203515168977</v>
      </c>
      <c r="X28" s="19">
        <v>0.93051156775840704</v>
      </c>
    </row>
    <row r="29" spans="1:24" ht="20" customHeight="1" x14ac:dyDescent="0.15">
      <c r="A29" s="8" t="s">
        <v>78</v>
      </c>
      <c r="B29" s="4" t="s">
        <v>26</v>
      </c>
      <c r="C29" s="5" t="s">
        <v>191</v>
      </c>
      <c r="D29" s="18">
        <v>0.50027534391495199</v>
      </c>
      <c r="E29" s="18">
        <v>0.63581333286865005</v>
      </c>
      <c r="F29" s="18">
        <v>1.6933151646217299</v>
      </c>
      <c r="G29" s="18">
        <v>2.1910783174830701</v>
      </c>
      <c r="H29" s="18">
        <v>3.8843934821047998</v>
      </c>
      <c r="I29" s="18">
        <v>-0.45075186519467397</v>
      </c>
      <c r="J29" s="18">
        <v>3.2380749109725699</v>
      </c>
      <c r="K29" s="18">
        <v>10.7997473882669</v>
      </c>
      <c r="L29" s="18">
        <v>0.49941138177958999</v>
      </c>
      <c r="M29" s="18">
        <v>29.719964631807599</v>
      </c>
      <c r="N29" s="18">
        <v>0.11339995201184</v>
      </c>
      <c r="O29" s="18">
        <v>1.5537518764586999</v>
      </c>
      <c r="P29" s="18">
        <v>0.46674483886703699</v>
      </c>
      <c r="Q29" s="18">
        <v>0.82004739043777097</v>
      </c>
      <c r="R29" s="18">
        <v>7.9600739565817697</v>
      </c>
      <c r="S29" s="18">
        <v>86.980214090292293</v>
      </c>
      <c r="T29" s="18">
        <v>1.0646830370406699</v>
      </c>
      <c r="U29" s="18">
        <v>2.4445006661341601E-2</v>
      </c>
      <c r="V29" s="18">
        <v>0.56915798375689597</v>
      </c>
      <c r="W29" s="18">
        <v>8.9439057779041403E-2</v>
      </c>
      <c r="X29" s="19">
        <v>0.69765926868772299</v>
      </c>
    </row>
    <row r="30" spans="1:24" ht="20" customHeight="1" x14ac:dyDescent="0.15">
      <c r="A30" s="8" t="s">
        <v>78</v>
      </c>
      <c r="B30" s="4" t="s">
        <v>26</v>
      </c>
      <c r="C30" s="5" t="s">
        <v>192</v>
      </c>
      <c r="D30" s="18">
        <v>0.65849934629864104</v>
      </c>
      <c r="E30" s="18">
        <v>0.84429696537848797</v>
      </c>
      <c r="F30" s="18">
        <v>2.1328720662363301</v>
      </c>
      <c r="G30" s="18">
        <v>3.4069019018971001</v>
      </c>
      <c r="H30" s="18">
        <v>5.5397739681334404</v>
      </c>
      <c r="I30" s="18">
        <v>-0.69751444791212702</v>
      </c>
      <c r="J30" s="18">
        <v>3.81761040307167</v>
      </c>
      <c r="K30" s="18">
        <v>17.025195021884699</v>
      </c>
      <c r="L30" s="18">
        <v>0.64339184450305797</v>
      </c>
      <c r="M30" s="18">
        <v>20.820821357106301</v>
      </c>
      <c r="N30" s="18">
        <v>9.3990599633765395E-2</v>
      </c>
      <c r="O30" s="18">
        <v>1.99230631116651</v>
      </c>
      <c r="P30" s="18">
        <v>0.55984779767894699</v>
      </c>
      <c r="Q30" s="18">
        <v>1.21024208597865</v>
      </c>
      <c r="R30" s="18">
        <v>6.9514133105422999</v>
      </c>
      <c r="S30" s="18">
        <v>86.102822211259493</v>
      </c>
      <c r="T30" s="18">
        <v>1.29526702863371</v>
      </c>
      <c r="U30" s="18">
        <v>2.98248892398741E-2</v>
      </c>
      <c r="V30" s="18">
        <v>0.74388994981805601</v>
      </c>
      <c r="W30" s="18">
        <v>0.12661740424950499</v>
      </c>
      <c r="X30" s="19">
        <v>0.87112040812366898</v>
      </c>
    </row>
    <row r="31" spans="1:24" ht="20" customHeight="1" x14ac:dyDescent="0.15">
      <c r="A31" s="8" t="s">
        <v>78</v>
      </c>
      <c r="B31" s="4" t="s">
        <v>26</v>
      </c>
      <c r="C31" s="5" t="s">
        <v>193</v>
      </c>
      <c r="D31" s="18">
        <v>0.62320373023975095</v>
      </c>
      <c r="E31" s="18">
        <v>0.82852213126626395</v>
      </c>
      <c r="F31" s="18">
        <v>2.2181670138254899</v>
      </c>
      <c r="G31" s="18">
        <v>3.7525274132594699</v>
      </c>
      <c r="H31" s="18">
        <v>5.9706944270849602</v>
      </c>
      <c r="I31" s="18">
        <v>-0.82719989722927101</v>
      </c>
      <c r="J31" s="18">
        <v>4.8039150761481002</v>
      </c>
      <c r="K31" s="18">
        <v>12.7226322428036</v>
      </c>
      <c r="L31" s="18">
        <v>0.55028569380060099</v>
      </c>
      <c r="M31" s="18">
        <v>38.134883832576797</v>
      </c>
      <c r="N31" s="18">
        <v>0.13846559625990801</v>
      </c>
      <c r="O31" s="18">
        <v>1.8173362036838301</v>
      </c>
      <c r="P31" s="18">
        <v>0.64468081191980997</v>
      </c>
      <c r="Q31" s="18">
        <v>1.30517275343489</v>
      </c>
      <c r="R31" s="18">
        <v>9.0025204048274698</v>
      </c>
      <c r="S31" s="18">
        <v>86.424247278493894</v>
      </c>
      <c r="T31" s="18">
        <v>1.3411842728686501</v>
      </c>
      <c r="U31" s="18">
        <v>3.2755919611964002E-2</v>
      </c>
      <c r="V31" s="18">
        <v>0.67409779698338501</v>
      </c>
      <c r="W31" s="18">
        <v>0.13121337239629599</v>
      </c>
      <c r="X31" s="19">
        <v>0.84622013818086605</v>
      </c>
    </row>
    <row r="32" spans="1:24" ht="20" customHeight="1" x14ac:dyDescent="0.15">
      <c r="A32" s="8" t="s">
        <v>78</v>
      </c>
      <c r="B32" s="4" t="s">
        <v>26</v>
      </c>
      <c r="C32" s="5" t="s">
        <v>194</v>
      </c>
      <c r="D32" s="18">
        <v>0.90057163554186104</v>
      </c>
      <c r="E32" s="18">
        <v>1.1746132767750399</v>
      </c>
      <c r="F32" s="18">
        <v>3.4757337435447799</v>
      </c>
      <c r="G32" s="18">
        <v>4.3890106982328598</v>
      </c>
      <c r="H32" s="18">
        <v>7.86474444177765</v>
      </c>
      <c r="I32" s="18">
        <v>-0.41287704757031701</v>
      </c>
      <c r="J32" s="18">
        <v>3.7572828758701702</v>
      </c>
      <c r="K32" s="18">
        <v>22.6159066328301</v>
      </c>
      <c r="L32" s="18">
        <v>0.75759375063206602</v>
      </c>
      <c r="M32" s="18">
        <v>36.6665774770442</v>
      </c>
      <c r="N32" s="18">
        <v>0.116105774921986</v>
      </c>
      <c r="O32" s="18">
        <v>2.6324607226615</v>
      </c>
      <c r="P32" s="18">
        <v>1.19999695835128</v>
      </c>
      <c r="Q32" s="18">
        <v>1.6111011422327399</v>
      </c>
      <c r="R32" s="18">
        <v>8.9348077391173408</v>
      </c>
      <c r="S32" s="18">
        <v>86.027864615939507</v>
      </c>
      <c r="T32" s="18">
        <v>2.1500506319471402</v>
      </c>
      <c r="U32" s="18">
        <v>6.0146264856197701E-2</v>
      </c>
      <c r="V32" s="18">
        <v>0.99449176304905595</v>
      </c>
      <c r="W32" s="18">
        <v>0.170000175056849</v>
      </c>
      <c r="X32" s="19">
        <v>1.22674794721619</v>
      </c>
    </row>
    <row r="33" spans="1:24" ht="20" customHeight="1" x14ac:dyDescent="0.15">
      <c r="A33" s="8" t="s">
        <v>78</v>
      </c>
      <c r="B33" s="4" t="s">
        <v>26</v>
      </c>
      <c r="C33" s="5" t="s">
        <v>195</v>
      </c>
      <c r="D33" s="18">
        <v>0.55294546438591696</v>
      </c>
      <c r="E33" s="18">
        <v>0.70316491508698997</v>
      </c>
      <c r="F33" s="18">
        <v>1.97766272412882</v>
      </c>
      <c r="G33" s="18">
        <v>2.5687186816968302</v>
      </c>
      <c r="H33" s="18">
        <v>4.5463814058256604</v>
      </c>
      <c r="I33" s="18">
        <v>-0.435747409568224</v>
      </c>
      <c r="J33" s="18">
        <v>3.39717041517549</v>
      </c>
      <c r="K33" s="18">
        <v>14.303740060633</v>
      </c>
      <c r="L33" s="18">
        <v>0.58238479396255405</v>
      </c>
      <c r="M33" s="18">
        <v>18.015570913537399</v>
      </c>
      <c r="N33" s="18">
        <v>9.6401353854820404E-2</v>
      </c>
      <c r="O33" s="18">
        <v>1.7479675743491601</v>
      </c>
      <c r="P33" s="18">
        <v>0.56216153656755097</v>
      </c>
      <c r="Q33" s="18">
        <v>0.91013651160281595</v>
      </c>
      <c r="R33" s="18">
        <v>7.5555644411177303</v>
      </c>
      <c r="S33" s="18">
        <v>88.0117301827093</v>
      </c>
      <c r="T33" s="18">
        <v>1.2045611479196201</v>
      </c>
      <c r="U33" s="18">
        <v>2.92417746592676E-2</v>
      </c>
      <c r="V33" s="18">
        <v>0.62192302931275001</v>
      </c>
      <c r="W33" s="18">
        <v>9.6856764589784095E-2</v>
      </c>
      <c r="X33" s="19">
        <v>0.76440506994276503</v>
      </c>
    </row>
    <row r="34" spans="1:24" ht="20" customHeight="1" x14ac:dyDescent="0.15">
      <c r="A34" s="13" t="s">
        <v>78</v>
      </c>
      <c r="B34" s="14" t="s">
        <v>26</v>
      </c>
      <c r="C34" s="15" t="s">
        <v>196</v>
      </c>
      <c r="D34" s="21">
        <v>0.99186996546995598</v>
      </c>
      <c r="E34" s="22">
        <v>1.2733894910437</v>
      </c>
      <c r="F34" s="22">
        <v>3.6814866827877699</v>
      </c>
      <c r="G34" s="22">
        <v>4.41231753152708</v>
      </c>
      <c r="H34" s="22">
        <v>8.0938042143148508</v>
      </c>
      <c r="I34" s="22">
        <v>-0.26390486904542299</v>
      </c>
      <c r="J34" s="22">
        <v>3.3923249302740599</v>
      </c>
      <c r="K34" s="22">
        <v>20.848584841613899</v>
      </c>
      <c r="L34" s="22">
        <v>0.72671976807404604</v>
      </c>
      <c r="M34" s="22">
        <v>48.794037315735203</v>
      </c>
      <c r="N34" s="22">
        <v>0.11573751527819701</v>
      </c>
      <c r="O34" s="22">
        <v>3.0532538887332201</v>
      </c>
      <c r="P34" s="22">
        <v>1.20484077805241</v>
      </c>
      <c r="Q34" s="22">
        <v>1.57326631870867</v>
      </c>
      <c r="R34" s="22">
        <v>9.67901530518429</v>
      </c>
      <c r="S34" s="22">
        <v>88.073022938194995</v>
      </c>
      <c r="T34" s="22">
        <v>2.3775814585700399</v>
      </c>
      <c r="U34" s="22">
        <v>6.0694352711351103E-2</v>
      </c>
      <c r="V34" s="22">
        <v>1.1061058747272501</v>
      </c>
      <c r="W34" s="22">
        <v>0.16828732587043699</v>
      </c>
      <c r="X34" s="23">
        <v>1.4477321897500599</v>
      </c>
    </row>
    <row r="38" spans="1:24" ht="20" customHeight="1" x14ac:dyDescent="0.15">
      <c r="A38" s="31" t="s">
        <v>1</v>
      </c>
      <c r="B38" s="31" t="s">
        <v>2</v>
      </c>
      <c r="C38" s="31" t="s">
        <v>3</v>
      </c>
      <c r="D38" s="31" t="s">
        <v>4</v>
      </c>
      <c r="E38" s="31" t="s">
        <v>5</v>
      </c>
      <c r="F38" s="31" t="s">
        <v>6</v>
      </c>
      <c r="G38" s="31" t="s">
        <v>7</v>
      </c>
      <c r="H38" s="31" t="s">
        <v>8</v>
      </c>
      <c r="I38" s="31" t="s">
        <v>9</v>
      </c>
      <c r="J38" s="31" t="s">
        <v>10</v>
      </c>
      <c r="K38" s="31" t="s">
        <v>11</v>
      </c>
      <c r="L38" s="31" t="s">
        <v>12</v>
      </c>
      <c r="M38" s="31" t="s">
        <v>13</v>
      </c>
      <c r="N38" s="31" t="s">
        <v>14</v>
      </c>
      <c r="O38" s="31" t="s">
        <v>15</v>
      </c>
      <c r="P38" s="31" t="s">
        <v>16</v>
      </c>
      <c r="Q38" s="31" t="s">
        <v>17</v>
      </c>
      <c r="R38" s="31" t="s">
        <v>18</v>
      </c>
      <c r="S38" s="31" t="s">
        <v>19</v>
      </c>
      <c r="T38" s="31" t="s">
        <v>20</v>
      </c>
      <c r="U38" s="31" t="s">
        <v>21</v>
      </c>
      <c r="V38" s="31" t="s">
        <v>22</v>
      </c>
      <c r="W38" s="31" t="s">
        <v>23</v>
      </c>
      <c r="X38" s="31" t="s">
        <v>24</v>
      </c>
    </row>
    <row r="39" spans="1:24" ht="20" customHeight="1" x14ac:dyDescent="0.15">
      <c r="A39" s="32" t="s">
        <v>78</v>
      </c>
      <c r="B39" s="33" t="s">
        <v>26</v>
      </c>
      <c r="C39" s="16" t="s">
        <v>181</v>
      </c>
      <c r="D39" s="28">
        <v>0.378562136608669</v>
      </c>
      <c r="E39" s="28">
        <v>0.46986345248472799</v>
      </c>
      <c r="F39" s="28">
        <v>1.4025355244967701</v>
      </c>
      <c r="G39" s="28">
        <v>1.27740931159475</v>
      </c>
      <c r="H39" s="28">
        <v>2.6799448360915199</v>
      </c>
      <c r="I39" s="28">
        <v>7.7461509739568807E-2</v>
      </c>
      <c r="J39" s="28">
        <v>2.7779048909497499</v>
      </c>
      <c r="K39" s="28">
        <v>3.3197565834448901</v>
      </c>
      <c r="L39" s="28">
        <v>0.26109635957680299</v>
      </c>
      <c r="M39" s="28">
        <v>50.309053255661901</v>
      </c>
      <c r="N39" s="28">
        <v>0.245906965677331</v>
      </c>
      <c r="O39" s="28">
        <v>1.26742619374443</v>
      </c>
      <c r="P39" s="28">
        <v>0.44055908318144199</v>
      </c>
      <c r="Q39" s="28">
        <v>0.38788936444605399</v>
      </c>
      <c r="R39" s="28">
        <v>9.35848404668155</v>
      </c>
      <c r="S39" s="28">
        <v>91.323279647264201</v>
      </c>
      <c r="T39" s="28">
        <v>0.942406862434646</v>
      </c>
      <c r="U39" s="28">
        <v>2.2299020459082702E-2</v>
      </c>
      <c r="V39" s="28">
        <v>0.43207027480403798</v>
      </c>
      <c r="W39" s="28">
        <v>4.9228432722471002E-2</v>
      </c>
      <c r="X39" s="28">
        <v>0.58344120734537896</v>
      </c>
    </row>
    <row r="40" spans="1:24" ht="20" customHeight="1" x14ac:dyDescent="0.15">
      <c r="A40" s="32" t="s">
        <v>78</v>
      </c>
      <c r="B40" s="34" t="s">
        <v>26</v>
      </c>
      <c r="C40" s="17" t="s">
        <v>182</v>
      </c>
      <c r="D40" s="29">
        <v>0.508562690560866</v>
      </c>
      <c r="E40" s="29">
        <v>0.64689307767281701</v>
      </c>
      <c r="F40" s="29">
        <v>2.3692516599167899</v>
      </c>
      <c r="G40" s="29">
        <v>1.8468011540170399</v>
      </c>
      <c r="H40" s="29">
        <v>4.21605281393383</v>
      </c>
      <c r="I40" s="29">
        <v>0.32401025049419502</v>
      </c>
      <c r="J40" s="29">
        <v>3.30575752978904</v>
      </c>
      <c r="K40" s="29">
        <v>17.802466498349599</v>
      </c>
      <c r="L40" s="29">
        <v>0.65725181421798196</v>
      </c>
      <c r="M40" s="29">
        <v>58.063332438934303</v>
      </c>
      <c r="N40" s="29">
        <v>0.25252334923249298</v>
      </c>
      <c r="O40" s="29">
        <v>1.60998404480055</v>
      </c>
      <c r="P40" s="29">
        <v>0.79084559178927205</v>
      </c>
      <c r="Q40" s="29">
        <v>0.55264691847714598</v>
      </c>
      <c r="R40" s="29">
        <v>11.632561607975999</v>
      </c>
      <c r="S40" s="29">
        <v>91.602631576851806</v>
      </c>
      <c r="T40" s="29">
        <v>1.4393499012879201</v>
      </c>
      <c r="U40" s="29">
        <v>3.8767332281448699E-2</v>
      </c>
      <c r="V40" s="29">
        <v>0.55882077068218705</v>
      </c>
      <c r="W40" s="29">
        <v>6.4846230950653505E-2</v>
      </c>
      <c r="X40" s="29">
        <v>0.81194451404496104</v>
      </c>
    </row>
    <row r="41" spans="1:24" ht="20" customHeight="1" x14ac:dyDescent="0.15">
      <c r="A41" s="32" t="s">
        <v>78</v>
      </c>
      <c r="B41" s="33" t="s">
        <v>26</v>
      </c>
      <c r="C41" s="16" t="s">
        <v>183</v>
      </c>
      <c r="D41" s="28">
        <v>0.378927400930338</v>
      </c>
      <c r="E41" s="28">
        <v>0.472774729029797</v>
      </c>
      <c r="F41" s="28">
        <v>1.50212755837223</v>
      </c>
      <c r="G41" s="28">
        <v>1.39811484881632</v>
      </c>
      <c r="H41" s="28">
        <v>2.90024240718855</v>
      </c>
      <c r="I41" s="28">
        <v>4.7559166082707098E-2</v>
      </c>
      <c r="J41" s="28">
        <v>2.85964789907263</v>
      </c>
      <c r="K41" s="28">
        <v>6.5212356096571797</v>
      </c>
      <c r="L41" s="28">
        <v>0.37920313243807602</v>
      </c>
      <c r="M41" s="28">
        <v>43.979518022585303</v>
      </c>
      <c r="N41" s="28">
        <v>0.119902586171555</v>
      </c>
      <c r="O41" s="28">
        <v>1.2506378327872201</v>
      </c>
      <c r="P41" s="28">
        <v>0.44183528985478099</v>
      </c>
      <c r="Q41" s="28">
        <v>0.42595612030998198</v>
      </c>
      <c r="R41" s="28">
        <v>9.8472839231871596</v>
      </c>
      <c r="S41" s="28">
        <v>91.062785844787697</v>
      </c>
      <c r="T41" s="28">
        <v>0.94584978397463404</v>
      </c>
      <c r="U41" s="28">
        <v>2.2156937052915899E-2</v>
      </c>
      <c r="V41" s="28">
        <v>0.42776975431005798</v>
      </c>
      <c r="W41" s="28">
        <v>5.1467398109431198E-2</v>
      </c>
      <c r="X41" s="28">
        <v>0.58595197205416605</v>
      </c>
    </row>
    <row r="42" spans="1:24" ht="20" customHeight="1" x14ac:dyDescent="0.15">
      <c r="A42" s="32" t="s">
        <v>78</v>
      </c>
      <c r="B42" s="34" t="s">
        <v>26</v>
      </c>
      <c r="C42" s="17" t="s">
        <v>184</v>
      </c>
      <c r="D42" s="29">
        <v>0.356871268090725</v>
      </c>
      <c r="E42" s="29">
        <v>0.446804845828768</v>
      </c>
      <c r="F42" s="29">
        <v>1.41692214607517</v>
      </c>
      <c r="G42" s="29">
        <v>1.3561036009892899</v>
      </c>
      <c r="H42" s="29">
        <v>2.7730257470644601</v>
      </c>
      <c r="I42" s="29">
        <v>9.3381923052830995E-2</v>
      </c>
      <c r="J42" s="29">
        <v>2.9564744143286399</v>
      </c>
      <c r="K42" s="29">
        <v>7.3863096276753897</v>
      </c>
      <c r="L42" s="29">
        <v>0.41330947864472001</v>
      </c>
      <c r="M42" s="29">
        <v>60.701891384794799</v>
      </c>
      <c r="N42" s="29">
        <v>0.25778471505508299</v>
      </c>
      <c r="O42" s="29">
        <v>1.1751051692100301</v>
      </c>
      <c r="P42" s="29">
        <v>0.44829225241147203</v>
      </c>
      <c r="Q42" s="29">
        <v>0.40060468508073299</v>
      </c>
      <c r="R42" s="29">
        <v>9.9627577655964501</v>
      </c>
      <c r="S42" s="29">
        <v>91.361594253919705</v>
      </c>
      <c r="T42" s="29">
        <v>0.91747761281523799</v>
      </c>
      <c r="U42" s="29">
        <v>2.2441746061424499E-2</v>
      </c>
      <c r="V42" s="29">
        <v>0.40063090535260898</v>
      </c>
      <c r="W42" s="29">
        <v>4.7732777329265098E-2</v>
      </c>
      <c r="X42" s="29">
        <v>0.55254127141192499</v>
      </c>
    </row>
    <row r="43" spans="1:24" ht="20" customHeight="1" x14ac:dyDescent="0.15">
      <c r="A43" s="32" t="s">
        <v>78</v>
      </c>
      <c r="B43" s="33" t="s">
        <v>26</v>
      </c>
      <c r="C43" s="16" t="s">
        <v>185</v>
      </c>
      <c r="D43" s="28">
        <v>0.40238955685970501</v>
      </c>
      <c r="E43" s="28">
        <v>0.50094351403347304</v>
      </c>
      <c r="F43" s="28">
        <v>1.5144977004220299</v>
      </c>
      <c r="G43" s="28">
        <v>1.4584041713046201</v>
      </c>
      <c r="H43" s="28">
        <v>2.9729018717266502</v>
      </c>
      <c r="I43" s="28">
        <v>5.0867494021749497E-2</v>
      </c>
      <c r="J43" s="28">
        <v>2.79540131846294</v>
      </c>
      <c r="K43" s="28">
        <v>7.8760937862615901</v>
      </c>
      <c r="L43" s="28">
        <v>0.42349402686204302</v>
      </c>
      <c r="M43" s="28">
        <v>49.862381997432003</v>
      </c>
      <c r="N43" s="28">
        <v>0.128327455386883</v>
      </c>
      <c r="O43" s="28">
        <v>1.3327326346389301</v>
      </c>
      <c r="P43" s="28">
        <v>0.46267325585797597</v>
      </c>
      <c r="Q43" s="28">
        <v>0.43034353619631399</v>
      </c>
      <c r="R43" s="28">
        <v>9.7281345856755497</v>
      </c>
      <c r="S43" s="28">
        <v>90.9204059417808</v>
      </c>
      <c r="T43" s="28">
        <v>0.999531836122172</v>
      </c>
      <c r="U43" s="28">
        <v>2.3295510211686899E-2</v>
      </c>
      <c r="V43" s="28">
        <v>0.45978641193651998</v>
      </c>
      <c r="W43" s="28">
        <v>5.3539575830591199E-2</v>
      </c>
      <c r="X43" s="28">
        <v>0.62333094419427004</v>
      </c>
    </row>
    <row r="44" spans="1:24" ht="20" customHeight="1" x14ac:dyDescent="0.15">
      <c r="A44" s="32" t="s">
        <v>78</v>
      </c>
      <c r="B44" s="34" t="s">
        <v>26</v>
      </c>
      <c r="C44" s="17" t="s">
        <v>186</v>
      </c>
      <c r="D44" s="29">
        <v>0.37362183893009598</v>
      </c>
      <c r="E44" s="29">
        <v>0.46442404139641602</v>
      </c>
      <c r="F44" s="29">
        <v>1.4234167397127699</v>
      </c>
      <c r="G44" s="29">
        <v>1.23525332725987</v>
      </c>
      <c r="H44" s="29">
        <v>2.6586700669726402</v>
      </c>
      <c r="I44" s="29">
        <v>0.162545554326117</v>
      </c>
      <c r="J44" s="29">
        <v>2.8146336952598601</v>
      </c>
      <c r="K44" s="29">
        <v>4.0952566968963202</v>
      </c>
      <c r="L44" s="29">
        <v>0.293639325704034</v>
      </c>
      <c r="M44" s="29">
        <v>75.721605158558702</v>
      </c>
      <c r="N44" s="29">
        <v>0.122299106691225</v>
      </c>
      <c r="O44" s="29">
        <v>1.24096920610303</v>
      </c>
      <c r="P44" s="29">
        <v>0.461138609454324</v>
      </c>
      <c r="Q44" s="29">
        <v>0.36875334887268502</v>
      </c>
      <c r="R44" s="29">
        <v>10.253991014237499</v>
      </c>
      <c r="S44" s="29">
        <v>91.928308457909495</v>
      </c>
      <c r="T44" s="29">
        <v>0.96492858312210905</v>
      </c>
      <c r="U44" s="29">
        <v>2.2916204577970199E-2</v>
      </c>
      <c r="V44" s="29">
        <v>0.42303964196273203</v>
      </c>
      <c r="W44" s="29">
        <v>4.6535210594238097E-2</v>
      </c>
      <c r="X44" s="29">
        <v>0.58946168943674504</v>
      </c>
    </row>
    <row r="45" spans="1:24" ht="20" customHeight="1" x14ac:dyDescent="0.15">
      <c r="A45" s="32" t="s">
        <v>78</v>
      </c>
      <c r="B45" s="33" t="s">
        <v>26</v>
      </c>
      <c r="C45" s="16" t="s">
        <v>187</v>
      </c>
      <c r="D45" s="28">
        <v>0.42953428316534098</v>
      </c>
      <c r="E45" s="28">
        <v>0.53700885516944796</v>
      </c>
      <c r="F45" s="28">
        <v>1.8862944717362899</v>
      </c>
      <c r="G45" s="28">
        <v>1.3711303881397401</v>
      </c>
      <c r="H45" s="28">
        <v>3.25742485987604</v>
      </c>
      <c r="I45" s="28">
        <v>0.35863154287087301</v>
      </c>
      <c r="J45" s="28">
        <v>3.0432564775779101</v>
      </c>
      <c r="K45" s="28">
        <v>10.6961528923337</v>
      </c>
      <c r="L45" s="28">
        <v>0.49656071456648099</v>
      </c>
      <c r="M45" s="28">
        <v>47.631092363518803</v>
      </c>
      <c r="N45" s="28">
        <v>0.14291878171526501</v>
      </c>
      <c r="O45" s="28">
        <v>1.41444117997393</v>
      </c>
      <c r="P45" s="28">
        <v>0.62441892420692002</v>
      </c>
      <c r="Q45" s="28">
        <v>0.36862553225877798</v>
      </c>
      <c r="R45" s="28">
        <v>10.865353690038001</v>
      </c>
      <c r="S45" s="28">
        <v>92.775909071103996</v>
      </c>
      <c r="T45" s="28">
        <v>1.1906373105481101</v>
      </c>
      <c r="U45" s="28">
        <v>3.0833742137732299E-2</v>
      </c>
      <c r="V45" s="28">
        <v>0.48168576256590101</v>
      </c>
      <c r="W45" s="28">
        <v>4.8842568723325298E-2</v>
      </c>
      <c r="X45" s="28">
        <v>0.68782746522189597</v>
      </c>
    </row>
    <row r="46" spans="1:24" ht="20" customHeight="1" thickBot="1" x14ac:dyDescent="0.2">
      <c r="A46" s="39" t="s">
        <v>78</v>
      </c>
      <c r="B46" s="40" t="s">
        <v>26</v>
      </c>
      <c r="C46" s="41" t="s">
        <v>188</v>
      </c>
      <c r="D46" s="42">
        <v>0.35108389178642002</v>
      </c>
      <c r="E46" s="43">
        <v>0.43590129385642401</v>
      </c>
      <c r="F46" s="43">
        <v>1.3669609252336801</v>
      </c>
      <c r="G46" s="43">
        <v>1.1386180849935601</v>
      </c>
      <c r="H46" s="43">
        <v>2.5055790102272502</v>
      </c>
      <c r="I46" s="43">
        <v>0.20776573848515101</v>
      </c>
      <c r="J46" s="43">
        <v>2.8064180882532099</v>
      </c>
      <c r="K46" s="43">
        <v>5.4062661201583504</v>
      </c>
      <c r="L46" s="43">
        <v>0.33959135858150402</v>
      </c>
      <c r="M46" s="43">
        <v>66.010193938706493</v>
      </c>
      <c r="N46" s="43">
        <v>0.179968123941464</v>
      </c>
      <c r="O46" s="43">
        <v>1.16540445923213</v>
      </c>
      <c r="P46" s="43">
        <v>0.44209570709267199</v>
      </c>
      <c r="Q46" s="43">
        <v>0.32565040417973001</v>
      </c>
      <c r="R46" s="43">
        <v>10.500427651061001</v>
      </c>
      <c r="S46" s="43">
        <v>92.168656067114696</v>
      </c>
      <c r="T46" s="43">
        <v>0.91853465399785095</v>
      </c>
      <c r="U46" s="43">
        <v>2.1851093615923502E-2</v>
      </c>
      <c r="V46" s="43">
        <v>0.39690475947126103</v>
      </c>
      <c r="W46" s="43">
        <v>4.2535332194370702E-2</v>
      </c>
      <c r="X46" s="43">
        <v>0.55779600135126295</v>
      </c>
    </row>
    <row r="47" spans="1:24" ht="20" customHeight="1" thickTop="1" x14ac:dyDescent="0.15">
      <c r="A47" s="35" t="s">
        <v>78</v>
      </c>
      <c r="B47" s="36" t="s">
        <v>26</v>
      </c>
      <c r="C47" s="37" t="s">
        <v>189</v>
      </c>
      <c r="D47" s="38">
        <v>0.36517656410969002</v>
      </c>
      <c r="E47" s="38">
        <v>0.46256205941034001</v>
      </c>
      <c r="F47" s="38">
        <v>1.24388797568014</v>
      </c>
      <c r="G47" s="38">
        <v>1.72852700876476</v>
      </c>
      <c r="H47" s="38">
        <v>2.9724149844449101</v>
      </c>
      <c r="I47" s="38">
        <v>-0.398058683390207</v>
      </c>
      <c r="J47" s="38">
        <v>3.3512877606341802</v>
      </c>
      <c r="K47" s="38">
        <v>5.6992408850300604</v>
      </c>
      <c r="L47" s="38">
        <v>0.35378898324267799</v>
      </c>
      <c r="M47" s="38">
        <v>46.369982435332702</v>
      </c>
      <c r="N47" s="38">
        <v>3.3406956089436397E-2</v>
      </c>
      <c r="O47" s="38">
        <v>1.1875713323516</v>
      </c>
      <c r="P47" s="38">
        <v>0.332220948015444</v>
      </c>
      <c r="Q47" s="38">
        <v>0.58381200766359398</v>
      </c>
      <c r="R47" s="38">
        <v>8.2013566489439302</v>
      </c>
      <c r="S47" s="38">
        <v>89.502606249116099</v>
      </c>
      <c r="T47" s="38">
        <v>0.80664678106015197</v>
      </c>
      <c r="U47" s="38">
        <v>1.7477920334596799E-2</v>
      </c>
      <c r="V47" s="38">
        <v>0.409715527009337</v>
      </c>
      <c r="W47" s="38">
        <v>6.1161976331817497E-2</v>
      </c>
      <c r="X47" s="38">
        <v>0.52935956133116602</v>
      </c>
    </row>
    <row r="48" spans="1:24" ht="20" customHeight="1" x14ac:dyDescent="0.15">
      <c r="A48" s="32" t="s">
        <v>78</v>
      </c>
      <c r="B48" s="34" t="s">
        <v>26</v>
      </c>
      <c r="C48" s="17" t="s">
        <v>190</v>
      </c>
      <c r="D48" s="29">
        <v>0.65822257646386295</v>
      </c>
      <c r="E48" s="29">
        <v>0.85097075005630396</v>
      </c>
      <c r="F48" s="29">
        <v>2.2529884996106202</v>
      </c>
      <c r="G48" s="29">
        <v>3.2248274891593001</v>
      </c>
      <c r="H48" s="29">
        <v>5.4778159887699198</v>
      </c>
      <c r="I48" s="29">
        <v>-0.47720233335104101</v>
      </c>
      <c r="J48" s="29">
        <v>3.65170827234033</v>
      </c>
      <c r="K48" s="29">
        <v>11.790375859237599</v>
      </c>
      <c r="L48" s="29">
        <v>0.52564165338430702</v>
      </c>
      <c r="M48" s="29">
        <v>32.682523186917997</v>
      </c>
      <c r="N48" s="29">
        <v>1.91152067486863E-2</v>
      </c>
      <c r="O48" s="29">
        <v>2.0053413157486899</v>
      </c>
      <c r="P48" s="29">
        <v>0.70621884589068995</v>
      </c>
      <c r="Q48" s="29">
        <v>1.15371554004182</v>
      </c>
      <c r="R48" s="29">
        <v>9.0492075764645996</v>
      </c>
      <c r="S48" s="29">
        <v>87.248493137995794</v>
      </c>
      <c r="T48" s="29">
        <v>1.48871593097692</v>
      </c>
      <c r="U48" s="29">
        <v>3.6014877387531702E-2</v>
      </c>
      <c r="V48" s="29">
        <v>0.73052658273065196</v>
      </c>
      <c r="W48" s="29">
        <v>0.122203515168977</v>
      </c>
      <c r="X48" s="29">
        <v>0.93051156775840704</v>
      </c>
    </row>
    <row r="49" spans="1:24" ht="20" customHeight="1" x14ac:dyDescent="0.15">
      <c r="A49" s="32" t="s">
        <v>78</v>
      </c>
      <c r="B49" s="33" t="s">
        <v>26</v>
      </c>
      <c r="C49" s="16" t="s">
        <v>191</v>
      </c>
      <c r="D49" s="28">
        <v>0.50027534391495199</v>
      </c>
      <c r="E49" s="28">
        <v>0.63581333286865005</v>
      </c>
      <c r="F49" s="28">
        <v>1.6933151646217299</v>
      </c>
      <c r="G49" s="28">
        <v>2.1910783174830701</v>
      </c>
      <c r="H49" s="28">
        <v>3.8843934821047998</v>
      </c>
      <c r="I49" s="28">
        <v>-0.45075186519467397</v>
      </c>
      <c r="J49" s="28">
        <v>3.2380749109725699</v>
      </c>
      <c r="K49" s="28">
        <v>10.7997473882669</v>
      </c>
      <c r="L49" s="28">
        <v>0.49941138177958999</v>
      </c>
      <c r="M49" s="28">
        <v>29.719964631807599</v>
      </c>
      <c r="N49" s="28">
        <v>0.11339995201184</v>
      </c>
      <c r="O49" s="28">
        <v>1.5537518764586999</v>
      </c>
      <c r="P49" s="28">
        <v>0.46674483886703699</v>
      </c>
      <c r="Q49" s="28">
        <v>0.82004739043777097</v>
      </c>
      <c r="R49" s="28">
        <v>7.9600739565817697</v>
      </c>
      <c r="S49" s="28">
        <v>86.980214090292293</v>
      </c>
      <c r="T49" s="28">
        <v>1.0646830370406699</v>
      </c>
      <c r="U49" s="28">
        <v>2.4445006661341601E-2</v>
      </c>
      <c r="V49" s="28">
        <v>0.56915798375689597</v>
      </c>
      <c r="W49" s="28">
        <v>8.9439057779041403E-2</v>
      </c>
      <c r="X49" s="28">
        <v>0.69765926868772299</v>
      </c>
    </row>
    <row r="50" spans="1:24" ht="20" customHeight="1" x14ac:dyDescent="0.15">
      <c r="A50" s="32" t="s">
        <v>78</v>
      </c>
      <c r="B50" s="34" t="s">
        <v>26</v>
      </c>
      <c r="C50" s="17" t="s">
        <v>192</v>
      </c>
      <c r="D50" s="29">
        <v>0.65849934629864104</v>
      </c>
      <c r="E50" s="29">
        <v>0.84429696537848797</v>
      </c>
      <c r="F50" s="29">
        <v>2.1328720662363301</v>
      </c>
      <c r="G50" s="29">
        <v>3.4069019018971001</v>
      </c>
      <c r="H50" s="29">
        <v>5.5397739681334404</v>
      </c>
      <c r="I50" s="29">
        <v>-0.69751444791212702</v>
      </c>
      <c r="J50" s="29">
        <v>3.81761040307167</v>
      </c>
      <c r="K50" s="29">
        <v>17.025195021884699</v>
      </c>
      <c r="L50" s="29">
        <v>0.64339184450305797</v>
      </c>
      <c r="M50" s="29">
        <v>20.820821357106301</v>
      </c>
      <c r="N50" s="29">
        <v>9.3990599633765395E-2</v>
      </c>
      <c r="O50" s="29">
        <v>1.99230631116651</v>
      </c>
      <c r="P50" s="29">
        <v>0.55984779767894699</v>
      </c>
      <c r="Q50" s="29">
        <v>1.21024208597865</v>
      </c>
      <c r="R50" s="29">
        <v>6.9514133105422999</v>
      </c>
      <c r="S50" s="29">
        <v>86.102822211259493</v>
      </c>
      <c r="T50" s="29">
        <v>1.29526702863371</v>
      </c>
      <c r="U50" s="29">
        <v>2.98248892398741E-2</v>
      </c>
      <c r="V50" s="29">
        <v>0.74388994981805601</v>
      </c>
      <c r="W50" s="29">
        <v>0.12661740424950499</v>
      </c>
      <c r="X50" s="29">
        <v>0.87112040812366898</v>
      </c>
    </row>
    <row r="51" spans="1:24" ht="20" customHeight="1" x14ac:dyDescent="0.15">
      <c r="A51" s="32" t="s">
        <v>78</v>
      </c>
      <c r="B51" s="33" t="s">
        <v>26</v>
      </c>
      <c r="C51" s="16" t="s">
        <v>193</v>
      </c>
      <c r="D51" s="28">
        <v>0.62320373023975095</v>
      </c>
      <c r="E51" s="28">
        <v>0.82852213126626395</v>
      </c>
      <c r="F51" s="28">
        <v>2.2181670138254899</v>
      </c>
      <c r="G51" s="28">
        <v>3.7525274132594699</v>
      </c>
      <c r="H51" s="28">
        <v>5.9706944270849602</v>
      </c>
      <c r="I51" s="28">
        <v>-0.82719989722927101</v>
      </c>
      <c r="J51" s="28">
        <v>4.8039150761481002</v>
      </c>
      <c r="K51" s="28">
        <v>12.7226322428036</v>
      </c>
      <c r="L51" s="28">
        <v>0.55028569380060099</v>
      </c>
      <c r="M51" s="28">
        <v>38.134883832576797</v>
      </c>
      <c r="N51" s="28">
        <v>0.13846559625990801</v>
      </c>
      <c r="O51" s="28">
        <v>1.8173362036838301</v>
      </c>
      <c r="P51" s="28">
        <v>0.64468081191980997</v>
      </c>
      <c r="Q51" s="28">
        <v>1.30517275343489</v>
      </c>
      <c r="R51" s="28">
        <v>9.0025204048274698</v>
      </c>
      <c r="S51" s="28">
        <v>86.424247278493894</v>
      </c>
      <c r="T51" s="28">
        <v>1.3411842728686501</v>
      </c>
      <c r="U51" s="28">
        <v>3.2755919611964002E-2</v>
      </c>
      <c r="V51" s="28">
        <v>0.67409779698338501</v>
      </c>
      <c r="W51" s="28">
        <v>0.13121337239629599</v>
      </c>
      <c r="X51" s="28">
        <v>0.84622013818086605</v>
      </c>
    </row>
    <row r="52" spans="1:24" ht="20" customHeight="1" x14ac:dyDescent="0.15">
      <c r="A52" s="32" t="s">
        <v>78</v>
      </c>
      <c r="B52" s="34" t="s">
        <v>26</v>
      </c>
      <c r="C52" s="17" t="s">
        <v>194</v>
      </c>
      <c r="D52" s="29">
        <v>0.90057163554186104</v>
      </c>
      <c r="E52" s="29">
        <v>1.1746132767750399</v>
      </c>
      <c r="F52" s="29">
        <v>3.4757337435447799</v>
      </c>
      <c r="G52" s="29">
        <v>4.3890106982328598</v>
      </c>
      <c r="H52" s="29">
        <v>7.86474444177765</v>
      </c>
      <c r="I52" s="29">
        <v>-0.41287704757031701</v>
      </c>
      <c r="J52" s="29">
        <v>3.7572828758701702</v>
      </c>
      <c r="K52" s="29">
        <v>22.6159066328301</v>
      </c>
      <c r="L52" s="29">
        <v>0.75759375063206602</v>
      </c>
      <c r="M52" s="29">
        <v>36.6665774770442</v>
      </c>
      <c r="N52" s="29">
        <v>0.116105774921986</v>
      </c>
      <c r="O52" s="29">
        <v>2.6324607226615</v>
      </c>
      <c r="P52" s="29">
        <v>1.19999695835128</v>
      </c>
      <c r="Q52" s="29">
        <v>1.6111011422327399</v>
      </c>
      <c r="R52" s="29">
        <v>8.9348077391173408</v>
      </c>
      <c r="S52" s="29">
        <v>86.027864615939507</v>
      </c>
      <c r="T52" s="29">
        <v>2.1500506319471402</v>
      </c>
      <c r="U52" s="29">
        <v>6.0146264856197701E-2</v>
      </c>
      <c r="V52" s="29">
        <v>0.99449176304905595</v>
      </c>
      <c r="W52" s="29">
        <v>0.170000175056849</v>
      </c>
      <c r="X52" s="29">
        <v>1.22674794721619</v>
      </c>
    </row>
    <row r="53" spans="1:24" ht="20" customHeight="1" x14ac:dyDescent="0.15">
      <c r="A53" s="32" t="s">
        <v>78</v>
      </c>
      <c r="B53" s="33" t="s">
        <v>26</v>
      </c>
      <c r="C53" s="16" t="s">
        <v>195</v>
      </c>
      <c r="D53" s="28">
        <v>0.55294546438591696</v>
      </c>
      <c r="E53" s="28">
        <v>0.70316491508698997</v>
      </c>
      <c r="F53" s="28">
        <v>1.97766272412882</v>
      </c>
      <c r="G53" s="28">
        <v>2.5687186816968302</v>
      </c>
      <c r="H53" s="28">
        <v>4.5463814058256604</v>
      </c>
      <c r="I53" s="28">
        <v>-0.435747409568224</v>
      </c>
      <c r="J53" s="28">
        <v>3.39717041517549</v>
      </c>
      <c r="K53" s="28">
        <v>14.303740060633</v>
      </c>
      <c r="L53" s="28">
        <v>0.58238479396255405</v>
      </c>
      <c r="M53" s="28">
        <v>18.015570913537399</v>
      </c>
      <c r="N53" s="28">
        <v>9.6401353854820404E-2</v>
      </c>
      <c r="O53" s="28">
        <v>1.7479675743491601</v>
      </c>
      <c r="P53" s="28">
        <v>0.56216153656755097</v>
      </c>
      <c r="Q53" s="28">
        <v>0.91013651160281595</v>
      </c>
      <c r="R53" s="28">
        <v>7.5555644411177303</v>
      </c>
      <c r="S53" s="28">
        <v>88.0117301827093</v>
      </c>
      <c r="T53" s="28">
        <v>1.2045611479196201</v>
      </c>
      <c r="U53" s="28">
        <v>2.92417746592676E-2</v>
      </c>
      <c r="V53" s="28">
        <v>0.62192302931275001</v>
      </c>
      <c r="W53" s="28">
        <v>9.6856764589784095E-2</v>
      </c>
      <c r="X53" s="28">
        <v>0.76440506994276503</v>
      </c>
    </row>
    <row r="54" spans="1:24" ht="20" customHeight="1" x14ac:dyDescent="0.15">
      <c r="A54" s="32" t="s">
        <v>78</v>
      </c>
      <c r="B54" s="34" t="s">
        <v>26</v>
      </c>
      <c r="C54" s="17" t="s">
        <v>196</v>
      </c>
      <c r="D54" s="30">
        <v>0.99186996546995598</v>
      </c>
      <c r="E54" s="29">
        <v>1.2733894910437</v>
      </c>
      <c r="F54" s="29">
        <v>3.6814866827877699</v>
      </c>
      <c r="G54" s="29">
        <v>4.41231753152708</v>
      </c>
      <c r="H54" s="29">
        <v>8.0938042143148508</v>
      </c>
      <c r="I54" s="29">
        <v>-0.26390486904542299</v>
      </c>
      <c r="J54" s="29">
        <v>3.3923249302740599</v>
      </c>
      <c r="K54" s="29">
        <v>20.848584841613899</v>
      </c>
      <c r="L54" s="29">
        <v>0.72671976807404604</v>
      </c>
      <c r="M54" s="29">
        <v>48.794037315735203</v>
      </c>
      <c r="N54" s="29">
        <v>0.11573751527819701</v>
      </c>
      <c r="O54" s="29">
        <v>3.0532538887332201</v>
      </c>
      <c r="P54" s="29">
        <v>1.20484077805241</v>
      </c>
      <c r="Q54" s="29">
        <v>1.57326631870867</v>
      </c>
      <c r="R54" s="29">
        <v>9.67901530518429</v>
      </c>
      <c r="S54" s="29">
        <v>88.073022938194995</v>
      </c>
      <c r="T54" s="29">
        <v>2.3775814585700399</v>
      </c>
      <c r="U54" s="29">
        <v>6.0694352711351103E-2</v>
      </c>
      <c r="V54" s="29">
        <v>1.1061058747272501</v>
      </c>
      <c r="W54" s="29">
        <v>0.16828732587043699</v>
      </c>
      <c r="X54" s="29">
        <v>1.4477321897500599</v>
      </c>
    </row>
    <row r="57" spans="1:24" ht="20" customHeight="1" x14ac:dyDescent="0.15">
      <c r="G57" s="28">
        <v>1.27740931159475</v>
      </c>
    </row>
    <row r="58" spans="1:24" ht="20" customHeight="1" x14ac:dyDescent="0.15">
      <c r="G58" s="29">
        <v>1.8468011540170399</v>
      </c>
    </row>
    <row r="59" spans="1:24" ht="20" customHeight="1" x14ac:dyDescent="0.15">
      <c r="G59" s="28">
        <v>1.39811484881632</v>
      </c>
    </row>
    <row r="60" spans="1:24" ht="20" customHeight="1" x14ac:dyDescent="0.15">
      <c r="G60" s="29">
        <v>1.3561036009892899</v>
      </c>
    </row>
    <row r="61" spans="1:24" ht="20" customHeight="1" x14ac:dyDescent="0.15">
      <c r="G61" s="28">
        <v>1.4584041713046201</v>
      </c>
    </row>
    <row r="62" spans="1:24" ht="20" customHeight="1" x14ac:dyDescent="0.15">
      <c r="G62" s="29">
        <v>1.23525332725987</v>
      </c>
    </row>
    <row r="63" spans="1:24" ht="20" customHeight="1" x14ac:dyDescent="0.15">
      <c r="G63" s="28">
        <v>1.3711303881397401</v>
      </c>
    </row>
    <row r="64" spans="1:24" ht="20" customHeight="1" thickBot="1" x14ac:dyDescent="0.2">
      <c r="G64" s="43">
        <v>1.1386180849935601</v>
      </c>
    </row>
    <row r="65" spans="7:7" ht="20" customHeight="1" thickTop="1" x14ac:dyDescent="0.15">
      <c r="G65" s="44">
        <f>AVERAGE(G57:G64)</f>
        <v>1.3852293608893986</v>
      </c>
    </row>
  </sheetData>
  <mergeCells count="1">
    <mergeCell ref="A1:X1"/>
  </mergeCells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 1 - Gesamt-EineCSV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uttan</cp:lastModifiedBy>
  <dcterms:modified xsi:type="dcterms:W3CDTF">2026-03-13T15:17:51Z</dcterms:modified>
</cp:coreProperties>
</file>